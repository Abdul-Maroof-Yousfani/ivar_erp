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C58383B-B0DA-4C0D-95C2-3F40B61B3502}" xr6:coauthVersionLast="47" xr6:coauthVersionMax="47" xr10:uidLastSave="{00000000-0000-0000-0000-000000000000}"/>
  <bookViews>
    <workbookView xWindow="-110" yWindow="-110" windowWidth="19420" windowHeight="10300" xr2:uid="{F91F82A8-818E-4131-B47F-2777190CFD6B}"/>
  </bookViews>
  <sheets>
    <sheet name="TRIAL BALANC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8" i="1" l="1"/>
  <c r="C217" i="1"/>
  <c r="C216" i="1"/>
  <c r="C215" i="1"/>
  <c r="C214" i="1"/>
  <c r="C213" i="1"/>
  <c r="C212" i="1"/>
  <c r="C211" i="1"/>
  <c r="C219" i="1" s="1"/>
  <c r="C207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204" i="1" s="1"/>
  <c r="C221" i="1" s="1"/>
  <c r="C127" i="1"/>
  <c r="C126" i="1"/>
  <c r="C125" i="1"/>
  <c r="C124" i="1"/>
  <c r="C123" i="1"/>
  <c r="C128" i="1" s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F104" i="1"/>
  <c r="C104" i="1"/>
  <c r="C103" i="1"/>
  <c r="C102" i="1"/>
  <c r="F101" i="1"/>
  <c r="C101" i="1"/>
  <c r="F100" i="1"/>
  <c r="C100" i="1"/>
  <c r="F99" i="1"/>
  <c r="F102" i="1" s="1"/>
  <c r="C99" i="1"/>
  <c r="C98" i="1"/>
  <c r="C97" i="1"/>
  <c r="C96" i="1"/>
  <c r="F95" i="1"/>
  <c r="C95" i="1"/>
  <c r="F94" i="1"/>
  <c r="C94" i="1"/>
  <c r="F93" i="1"/>
  <c r="C93" i="1"/>
  <c r="F92" i="1"/>
  <c r="C92" i="1"/>
  <c r="C120" i="1" s="1"/>
  <c r="F91" i="1"/>
  <c r="F96" i="1" s="1"/>
  <c r="C91" i="1"/>
  <c r="F90" i="1"/>
  <c r="C90" i="1"/>
  <c r="C86" i="1"/>
  <c r="C85" i="1"/>
  <c r="C87" i="1" s="1"/>
  <c r="F84" i="1"/>
  <c r="C84" i="1"/>
  <c r="F83" i="1"/>
  <c r="F82" i="1"/>
  <c r="F81" i="1"/>
  <c r="F80" i="1"/>
  <c r="F79" i="1"/>
  <c r="F78" i="1"/>
  <c r="C78" i="1"/>
  <c r="F77" i="1"/>
  <c r="C77" i="1"/>
  <c r="F76" i="1"/>
  <c r="C76" i="1"/>
  <c r="F75" i="1"/>
  <c r="C75" i="1"/>
  <c r="F74" i="1"/>
  <c r="C74" i="1"/>
  <c r="F73" i="1"/>
  <c r="C73" i="1"/>
  <c r="F72" i="1"/>
  <c r="C72" i="1"/>
  <c r="F71" i="1"/>
  <c r="C71" i="1"/>
  <c r="C80" i="1" s="1"/>
  <c r="F70" i="1"/>
  <c r="F69" i="1"/>
  <c r="F68" i="1"/>
  <c r="F67" i="1"/>
  <c r="F66" i="1"/>
  <c r="C66" i="1"/>
  <c r="F65" i="1"/>
  <c r="C65" i="1"/>
  <c r="F64" i="1"/>
  <c r="C64" i="1"/>
  <c r="F63" i="1"/>
  <c r="C63" i="1"/>
  <c r="F62" i="1"/>
  <c r="C62" i="1"/>
  <c r="F61" i="1"/>
  <c r="C61" i="1"/>
  <c r="F60" i="1"/>
  <c r="C60" i="1"/>
  <c r="F59" i="1"/>
  <c r="C59" i="1"/>
  <c r="F58" i="1"/>
  <c r="C58" i="1"/>
  <c r="F57" i="1"/>
  <c r="C57" i="1"/>
  <c r="F56" i="1"/>
  <c r="C56" i="1"/>
  <c r="C68" i="1" s="1"/>
  <c r="F55" i="1"/>
  <c r="F54" i="1"/>
  <c r="F53" i="1"/>
  <c r="F52" i="1"/>
  <c r="F51" i="1"/>
  <c r="C51" i="1"/>
  <c r="F50" i="1"/>
  <c r="C50" i="1"/>
  <c r="F49" i="1"/>
  <c r="C49" i="1"/>
  <c r="F48" i="1"/>
  <c r="C48" i="1"/>
  <c r="F47" i="1"/>
  <c r="C47" i="1"/>
  <c r="F46" i="1"/>
  <c r="C46" i="1"/>
  <c r="F45" i="1"/>
  <c r="C45" i="1"/>
  <c r="F44" i="1"/>
  <c r="C44" i="1"/>
  <c r="F43" i="1"/>
  <c r="C43" i="1"/>
  <c r="F42" i="1"/>
  <c r="C42" i="1"/>
  <c r="F41" i="1"/>
  <c r="C41" i="1"/>
  <c r="F40" i="1"/>
  <c r="C40" i="1"/>
  <c r="C53" i="1" s="1"/>
  <c r="F39" i="1"/>
  <c r="F38" i="1"/>
  <c r="F37" i="1"/>
  <c r="F87" i="1" s="1"/>
  <c r="C35" i="1"/>
  <c r="C34" i="1"/>
  <c r="C33" i="1"/>
  <c r="F32" i="1"/>
  <c r="F33" i="1" s="1"/>
  <c r="C32" i="1"/>
  <c r="C31" i="1"/>
  <c r="C30" i="1"/>
  <c r="C29" i="1"/>
  <c r="C28" i="1"/>
  <c r="F27" i="1"/>
  <c r="C27" i="1"/>
  <c r="F26" i="1"/>
  <c r="C26" i="1"/>
  <c r="C37" i="1" s="1"/>
  <c r="F25" i="1"/>
  <c r="F24" i="1"/>
  <c r="F23" i="1"/>
  <c r="C23" i="1"/>
  <c r="F22" i="1"/>
  <c r="F21" i="1"/>
  <c r="C21" i="1"/>
  <c r="F20" i="1"/>
  <c r="F19" i="1"/>
  <c r="F18" i="1"/>
  <c r="F17" i="1"/>
  <c r="F16" i="1"/>
  <c r="C16" i="1"/>
  <c r="F15" i="1"/>
  <c r="C15" i="1"/>
  <c r="F14" i="1"/>
  <c r="C14" i="1"/>
  <c r="F13" i="1"/>
  <c r="C13" i="1"/>
  <c r="F12" i="1"/>
  <c r="F29" i="1" s="1"/>
  <c r="C12" i="1"/>
  <c r="C11" i="1"/>
  <c r="C10" i="1"/>
  <c r="C9" i="1"/>
  <c r="F8" i="1"/>
  <c r="C8" i="1"/>
  <c r="F7" i="1"/>
  <c r="C7" i="1"/>
  <c r="F6" i="1"/>
  <c r="C6" i="1"/>
  <c r="F5" i="1"/>
  <c r="C5" i="1"/>
  <c r="F4" i="1"/>
  <c r="C4" i="1"/>
  <c r="C19" i="1" s="1"/>
  <c r="F3" i="1"/>
  <c r="F9" i="1" s="1"/>
  <c r="F221" i="1" l="1"/>
  <c r="D224" i="1" s="1"/>
</calcChain>
</file>

<file path=xl/sharedStrings.xml><?xml version="1.0" encoding="utf-8"?>
<sst xmlns="http://schemas.openxmlformats.org/spreadsheetml/2006/main" count="292" uniqueCount="291">
  <si>
    <t>TRIAL BALANCE</t>
  </si>
  <si>
    <t>DEBIT</t>
  </si>
  <si>
    <t>CREDIT</t>
  </si>
  <si>
    <t>FIXED ASSETS</t>
  </si>
  <si>
    <t>SHAAD CAPITAL</t>
  </si>
  <si>
    <t xml:space="preserve">SAIM &amp; SAMEER CAPITAL </t>
  </si>
  <si>
    <t>IVAR BUKHARI OUTLET</t>
  </si>
  <si>
    <t>REHMAN CAPITAL</t>
  </si>
  <si>
    <t xml:space="preserve">PLOT NO A-488 </t>
  </si>
  <si>
    <t>MAAZ CAPITAL</t>
  </si>
  <si>
    <t>SECURITY DEPOSIT PLOT NO# A-488</t>
  </si>
  <si>
    <t>YAFEEZ CAPITAL</t>
  </si>
  <si>
    <t>SECURITY DEPOSIT LAHORE OUTLET</t>
  </si>
  <si>
    <t>HANZALA CAPITAL</t>
  </si>
  <si>
    <t>METAL ASSETS</t>
  </si>
  <si>
    <t>NET CAPITAL</t>
  </si>
  <si>
    <t>ISLAMABAD OUTLET</t>
  </si>
  <si>
    <t>LAHORE OUTLET</t>
  </si>
  <si>
    <t>SALES</t>
  </si>
  <si>
    <t>IVAR STORE SHARFABAD</t>
  </si>
  <si>
    <t xml:space="preserve">  SALE(ABHI PAY)</t>
  </si>
  <si>
    <t>TELECOM SECURITY DEPOSIT</t>
  </si>
  <si>
    <t xml:space="preserve">  TCS SALES</t>
  </si>
  <si>
    <t>ADVERTISING CREDIT</t>
  </si>
  <si>
    <t>PETTY BUYERS SALES</t>
  </si>
  <si>
    <t>IVAR FAISALABAD SHOP</t>
  </si>
  <si>
    <t>LAAM SALE</t>
  </si>
  <si>
    <t xml:space="preserve">USD ASSETS </t>
  </si>
  <si>
    <t>POST EX SALES</t>
  </si>
  <si>
    <t xml:space="preserve">  GIFT &amp; SAMPLE &amp; INFLUENCER SALE</t>
  </si>
  <si>
    <t>COURIER NEXT SALE</t>
  </si>
  <si>
    <t>TOTAL FIXED ASSETS</t>
  </si>
  <si>
    <t>BLUE EX SALE</t>
  </si>
  <si>
    <t>KARACHI ONLINE SALE</t>
  </si>
  <si>
    <t>CASH AT LOCKER</t>
  </si>
  <si>
    <t>DISPUTE PARCEL CS</t>
  </si>
  <si>
    <t>OFFLINE SALE</t>
  </si>
  <si>
    <t>CASH AT HOME</t>
  </si>
  <si>
    <t>IVAR BUKHARI SHOP SALE</t>
  </si>
  <si>
    <t>IVAR LAHORE SHOP SALE</t>
  </si>
  <si>
    <t>RETURNS</t>
  </si>
  <si>
    <t>SALE (BAAD MAY)</t>
  </si>
  <si>
    <t>SALE RETURN</t>
  </si>
  <si>
    <t>IVAR ISLAMABAD SHOP SALE</t>
  </si>
  <si>
    <t>POST EX SALE RETURN</t>
  </si>
  <si>
    <t>IVAR SHARFABAD SHOP SALE</t>
  </si>
  <si>
    <t>COURIER NEXT SALE RETURN</t>
  </si>
  <si>
    <t>IVAR BUKHARI SHOP RETURN</t>
  </si>
  <si>
    <t>TOTAL SALES</t>
  </si>
  <si>
    <t>ONLINE CSTMR SHOP REFUND</t>
  </si>
  <si>
    <t>NICE SUPER MART SALE RETURN</t>
  </si>
  <si>
    <t>PURCHASE RETURN</t>
  </si>
  <si>
    <t>IVAR LAHORE SHOP REFUNDS</t>
  </si>
  <si>
    <t xml:space="preserve">   PURCHASE RETURN</t>
  </si>
  <si>
    <t>BLUE EX SALE RETURN</t>
  </si>
  <si>
    <t>TOTAL PURCHASE RETURN</t>
  </si>
  <si>
    <t xml:space="preserve">IVAR ISLAMABAD SHOP REFUND </t>
  </si>
  <si>
    <t xml:space="preserve">IVAR SHARFABAD SHOP REFUND </t>
  </si>
  <si>
    <t>PAYABLES</t>
  </si>
  <si>
    <t>TOTAL RETURNS</t>
  </si>
  <si>
    <t>JUNAID SHEIKH ACCESSORIES PAYBLE</t>
  </si>
  <si>
    <t>HAFIZ PRINTERS PAYBLE</t>
  </si>
  <si>
    <t>PURCHASES</t>
  </si>
  <si>
    <t>SHAHEER PRINTING PAYBLE</t>
  </si>
  <si>
    <t>ACCESSORIES PURCHASED</t>
  </si>
  <si>
    <t xml:space="preserve"> ALLIED CMT PAYBLE</t>
  </si>
  <si>
    <t>T-SHIRT PURCHASED</t>
  </si>
  <si>
    <t>MR.VALI ENTERPRIZE PAYEBLE</t>
  </si>
  <si>
    <t xml:space="preserve">  PURCHASE MISC </t>
  </si>
  <si>
    <t>M.ISRAR ENTERPRISE PAYBLE</t>
  </si>
  <si>
    <t xml:space="preserve"> U.G PURCHASED</t>
  </si>
  <si>
    <t>ABDUL MUGHNI CMT PAYBLE</t>
  </si>
  <si>
    <t xml:space="preserve"> CMT PURCHASED</t>
  </si>
  <si>
    <t>AHST APPAREL PAYBLE</t>
  </si>
  <si>
    <t>PAJAMA PURCHASED</t>
  </si>
  <si>
    <t>ALAM APPAREL PAYBLE</t>
  </si>
  <si>
    <t>FABRIC PURCHASED</t>
  </si>
  <si>
    <t>CLAIM REMAINING BALANCE</t>
  </si>
  <si>
    <t>GARMENT PURCHASE</t>
  </si>
  <si>
    <t>ASTORE BAGS PAYBLE</t>
  </si>
  <si>
    <t>BAGS PURCHASE</t>
  </si>
  <si>
    <t>TODAY GARMENTS PAYBLE</t>
  </si>
  <si>
    <t>SHOES PURCHASE</t>
  </si>
  <si>
    <t>CONCEPT PACKAGES PAYABLE</t>
  </si>
  <si>
    <t>FRAGNANCE PURCHASE</t>
  </si>
  <si>
    <t>FINE TARE FABRIC</t>
  </si>
  <si>
    <t>DYING PURCHASE</t>
  </si>
  <si>
    <t>RIZWAN DENIM FABRIC PAYBLE</t>
  </si>
  <si>
    <t>1 STITCH SOLUTION PAYBLE</t>
  </si>
  <si>
    <t>TOTAL PURCHASING</t>
  </si>
  <si>
    <t>ALLIED FABRIC PURCHASED (ON CASH)</t>
  </si>
  <si>
    <t xml:space="preserve">FATEH INDUSTRIES PAYBLE </t>
  </si>
  <si>
    <t>RECEIVABLES</t>
  </si>
  <si>
    <t>S.K.F POLYTEX</t>
  </si>
  <si>
    <t>SHAAD RECEVIBLE</t>
  </si>
  <si>
    <t>SHAAD FABRICS PAYBLE</t>
  </si>
  <si>
    <t>PETTY BUTYER RCVBL</t>
  </si>
  <si>
    <t>AL MAKKAH FABRICS CASH</t>
  </si>
  <si>
    <t>LAAM RCVBLE</t>
  </si>
  <si>
    <t>BADAMI SUITING CASH</t>
  </si>
  <si>
    <t>TCS  RCVBL</t>
  </si>
  <si>
    <t>USMANI GARMENTS PAYBLE</t>
  </si>
  <si>
    <t xml:space="preserve">   POST EX RCVBL</t>
  </si>
  <si>
    <t>KHALIL FABRICS CASH</t>
  </si>
  <si>
    <t>COURIER NEXT RCVBLE</t>
  </si>
  <si>
    <t>FANSIA FRAGNANCE PAYBLE</t>
  </si>
  <si>
    <t>BLUE EX RCVBLE</t>
  </si>
  <si>
    <t>OK TRADERS PAYBLE</t>
  </si>
  <si>
    <t>ABHI PAY SHAAD RCVBLE</t>
  </si>
  <si>
    <t>RKM CORPRATION PAYBLE</t>
  </si>
  <si>
    <t>BAAD MAY RCVBLE</t>
  </si>
  <si>
    <t>KEMTEX PAYBLE</t>
  </si>
  <si>
    <t>EASY PAYSA DISCOUNT WORLD RCVBLE FOR SHOP</t>
  </si>
  <si>
    <t>KNITEX PAYBLE</t>
  </si>
  <si>
    <t>EASY PAYSA DIS WORLD RCVBLE FOR ONLINE</t>
  </si>
  <si>
    <t>MOIZ YASIN FABRICATION PAYBLE</t>
  </si>
  <si>
    <t>MUSTAFA CLOTH (NOWSHERA)</t>
  </si>
  <si>
    <t>TOTAL RECEIVABLES</t>
  </si>
  <si>
    <t>GUL AHMED TEXTILE MILLS PAYBLE</t>
  </si>
  <si>
    <t>MIMA INTERNATIONAL PAYBLE</t>
  </si>
  <si>
    <t>DEBTORS</t>
  </si>
  <si>
    <t>ARTISTIC PRINT HOUSE</t>
  </si>
  <si>
    <t>NAYAB FASHION MUZAFFARABAD</t>
  </si>
  <si>
    <t>ALAM APPERAL FABRIC PAYBLE</t>
  </si>
  <si>
    <t>NICE SUPER MART</t>
  </si>
  <si>
    <t>AL AHAD FOOTWEAR</t>
  </si>
  <si>
    <t xml:space="preserve">TESCO SUPER MART </t>
  </si>
  <si>
    <t xml:space="preserve">AKRAM CONTRACTOR </t>
  </si>
  <si>
    <t>NEW WAY SUPER MART</t>
  </si>
  <si>
    <t>J.K ENTERPRISES BUTTON</t>
  </si>
  <si>
    <t>IVAR BUKHARI SHOP DEBTORS</t>
  </si>
  <si>
    <t xml:space="preserve">MINAHEEL ENTERPRISE </t>
  </si>
  <si>
    <t>IVAR LAHORE SHOP DEBTORS</t>
  </si>
  <si>
    <t>MISAAF ENERGY PVT LTD</t>
  </si>
  <si>
    <t>IVAR ISLAMABAD SHOP DEBTORS</t>
  </si>
  <si>
    <t xml:space="preserve">NK APPAREL </t>
  </si>
  <si>
    <t>IVAR SHARFABAD SHOP DEBTORS</t>
  </si>
  <si>
    <t>HUMAIR GAGAI PAYBLE</t>
  </si>
  <si>
    <t>WALEED FOOTWEAR</t>
  </si>
  <si>
    <t>TOTAL DEBTORS</t>
  </si>
  <si>
    <t>A.M APPAREL PAYBLE</t>
  </si>
  <si>
    <t>MIMA INTERNATIONAL FABRIC PAYBLE</t>
  </si>
  <si>
    <t>TEZCO INDUSTRIES PAYBLE</t>
  </si>
  <si>
    <t>BANK A/C</t>
  </si>
  <si>
    <t>ALAM TEXTILE TRADING PAYBLE</t>
  </si>
  <si>
    <t>MEEZAN AC 8231</t>
  </si>
  <si>
    <t xml:space="preserve">AHMED JAMAL TEXTILE MILLS </t>
  </si>
  <si>
    <t>UBL ACC 7741</t>
  </si>
  <si>
    <t>BANK ALFALAH ACC 2985</t>
  </si>
  <si>
    <t>TOTAL BANK A/C</t>
  </si>
  <si>
    <t>TOTAL PAYABLES</t>
  </si>
  <si>
    <t>OTHERS</t>
  </si>
  <si>
    <t>PROVISION DEPRECIATION ACCOUNT</t>
  </si>
  <si>
    <t>STAFF TEMPORARY LOAN</t>
  </si>
  <si>
    <t>WAREHOUSE PROVISION DEPR ACC</t>
  </si>
  <si>
    <t>SHAAD TEMPORARY LOAN</t>
  </si>
  <si>
    <t>BUKHARI SHOP PRIVISION DEPR ACC</t>
  </si>
  <si>
    <t>SUSPENSE ACCOUNT</t>
  </si>
  <si>
    <t>PLOT NO A-488 PROVISION DEPR ACC</t>
  </si>
  <si>
    <t>POST EX CLAIM</t>
  </si>
  <si>
    <t>ISB OUTLET PROVISION DEPR ACC</t>
  </si>
  <si>
    <t>COURIER NEXT CLAIM</t>
  </si>
  <si>
    <t>LHR OUTLET PROVISION DEPR ACC</t>
  </si>
  <si>
    <t>IVAR BUKHARI SHOP EXP (AMANAT)</t>
  </si>
  <si>
    <t>SHRFABAD OUTLET PROVISION DEPR ACC</t>
  </si>
  <si>
    <t>TARIQ ELECTRITIAN (AMANAT)</t>
  </si>
  <si>
    <t>TOTAL PROVISION DEPRECIATION ACC</t>
  </si>
  <si>
    <t>AHAD CARPAINTER (AMANAT)</t>
  </si>
  <si>
    <t>KASHIF IVAR SHOP (AMANAT)</t>
  </si>
  <si>
    <t>INCOME ACCOUNT</t>
  </si>
  <si>
    <t>SAAD PETTY CASH (AMANAT)</t>
  </si>
  <si>
    <t xml:space="preserve"> SILVER S/P  A/C</t>
  </si>
  <si>
    <t>OSAMA AFZAL LHR TOUR (AMANAT)</t>
  </si>
  <si>
    <t>GOLD S/P AC</t>
  </si>
  <si>
    <t>IVAR LAHORE SHOP EXP (AMANAT)</t>
  </si>
  <si>
    <t>INCOME FROM FOREX MARKETING</t>
  </si>
  <si>
    <t>NAJEED SHAAD BROKER (AMANAT)</t>
  </si>
  <si>
    <t>TOTAL INCOME ACCOUNT</t>
  </si>
  <si>
    <t>QASIM HEAD OF RETAIL (AMANAT)</t>
  </si>
  <si>
    <t xml:space="preserve">KASHAN (AMANAT) </t>
  </si>
  <si>
    <t>CLAIMS ACC</t>
  </si>
  <si>
    <t>IVAR ISLAMABAD SHOP EXP (AMANAT)</t>
  </si>
  <si>
    <t>BABER STUDIO (AMANAT)</t>
  </si>
  <si>
    <t>IVAR SHARFABAD SHOP EXP (AMANAT)</t>
  </si>
  <si>
    <t>MAJEED FABRICS (AMANAT)</t>
  </si>
  <si>
    <t>BISMILLAH TAX INDUSTRIES (AMANAT)</t>
  </si>
  <si>
    <t>SHARFABAD RENTAL AMANAT</t>
  </si>
  <si>
    <t>MBK PRIVATE LIMITED (AMANAT)</t>
  </si>
  <si>
    <t>ALI RAZA LHR (AMANAT)</t>
  </si>
  <si>
    <t>RAMZAN BHAI (AMANAT)</t>
  </si>
  <si>
    <t>HANZALA TRADERS (AMANAT)</t>
  </si>
  <si>
    <t>ZAHEER BUKHARI SHOP (AMANAT)</t>
  </si>
  <si>
    <t>WALEED VM (AMANAT)</t>
  </si>
  <si>
    <t>YS DENIM (AMANAT)</t>
  </si>
  <si>
    <t>EHTISHAM BUKHARI STORE (AMANAT)</t>
  </si>
  <si>
    <t>TOTAL OTHERS</t>
  </si>
  <si>
    <t>DRAWINGS</t>
  </si>
  <si>
    <t>SAIM &amp; SAMEER DRAWINGS</t>
  </si>
  <si>
    <t>REHMAN DRAWINGS</t>
  </si>
  <si>
    <t>YAFEEZ DRAWINGS</t>
  </si>
  <si>
    <t>MAAZ DRAWINGS</t>
  </si>
  <si>
    <t>HANZALA DRAWINGS</t>
  </si>
  <si>
    <t>TOTAL DRAWINGS</t>
  </si>
  <si>
    <t>EXPENSES</t>
  </si>
  <si>
    <t>MISC EXPENSES</t>
  </si>
  <si>
    <t>E-COMMERCE EXPENSE</t>
  </si>
  <si>
    <t>F.B ASTORE IVAR</t>
  </si>
  <si>
    <t>LEGEL EXPENSES</t>
  </si>
  <si>
    <t xml:space="preserve"> SALARY EXPENSES</t>
  </si>
  <si>
    <t xml:space="preserve"> ABHI PAY COMMISION EXPENSES</t>
  </si>
  <si>
    <t>POST EX DELIVERY CHARGES</t>
  </si>
  <si>
    <t xml:space="preserve">    GIFT &amp; SAMPLE &amp; INFLUENCER EXP</t>
  </si>
  <si>
    <t>COURIER NEXT DELIVERY CHARGES</t>
  </si>
  <si>
    <t>GOODS &amp; TRANSPORT EXP</t>
  </si>
  <si>
    <t>AGENCY FEES EXP</t>
  </si>
  <si>
    <t>PHOTOGRAPHY &amp; SHOOT EXP</t>
  </si>
  <si>
    <t>COMMISSION EXP</t>
  </si>
  <si>
    <t>SOFTWEAR EXP</t>
  </si>
  <si>
    <t>T.G MARKETING EXP</t>
  </si>
  <si>
    <t>PETTY CASH EXPENSE (IVAR)</t>
  </si>
  <si>
    <t>BUKHARI SHOP BANK CHARGES</t>
  </si>
  <si>
    <t>IVAR BUKHARI SHOP RENT EXP</t>
  </si>
  <si>
    <t>BUKHARI SHOP EMPLOYE SALARY EXP</t>
  </si>
  <si>
    <t>STOCK LOSS EXPENSE</t>
  </si>
  <si>
    <t>TRAVELLING EXPENSE</t>
  </si>
  <si>
    <t>POST EX TAX CHARGES</t>
  </si>
  <si>
    <t>IVAR BUKHARI SHOP PETTY CASH EXP</t>
  </si>
  <si>
    <t>COURIER NEXT TAX CHARGES</t>
  </si>
  <si>
    <t>WAREHOUSE DEPRICIATION EXPENSE</t>
  </si>
  <si>
    <t>BUKHARI SHOP DEPR EXP</t>
  </si>
  <si>
    <t>WAREHOUSE RENT EXP</t>
  </si>
  <si>
    <t>NEW WAREHOUSE UTILITY EXP</t>
  </si>
  <si>
    <t>IVAR BUKHARI SHOP UTILITY EXP</t>
  </si>
  <si>
    <t>ABHI PAY TAX DEDUCT 3%</t>
  </si>
  <si>
    <t>WAREHOUSE RENT EXP A-488</t>
  </si>
  <si>
    <t>ENTERTAINMENT EXP</t>
  </si>
  <si>
    <t>SAAD PETTY CASH EXP</t>
  </si>
  <si>
    <t>LAHORE SHOP POS BANK CHARGES</t>
  </si>
  <si>
    <t>IVAR LAHORE SHOP PETTY CASH EXP</t>
  </si>
  <si>
    <t>VEHICLE MAINTENANCE EXP</t>
  </si>
  <si>
    <t>IVAR LAHORE SHOP UTILITY EXP</t>
  </si>
  <si>
    <t>IVAR LAHORE SHOP EMPLOYE SALARY EXP</t>
  </si>
  <si>
    <t>BLUE EX DELIVERY CHARGES</t>
  </si>
  <si>
    <t>BAAD MAY COMMISSION EXP</t>
  </si>
  <si>
    <t>BAAD MAY TAX DEDUCT EXP</t>
  </si>
  <si>
    <t>IVAR LAHORE SHOP RENT EXP</t>
  </si>
  <si>
    <t>REPAIRING EXPENSE</t>
  </si>
  <si>
    <t>ISLAMABAD SHOP POS BANK CHARGES</t>
  </si>
  <si>
    <t>ISLAMABAD SHOP PETTY CASH EXP</t>
  </si>
  <si>
    <t>IVAR LAHORE SHOP EXP</t>
  </si>
  <si>
    <t>ISLAMABAD SHOP UTILITY EXP</t>
  </si>
  <si>
    <t>IVAR BUKHARI SHOP EXP</t>
  </si>
  <si>
    <t>ISLAMABAD SHOP RENT EXP</t>
  </si>
  <si>
    <t>PLOT NO A-488 DEPR EXP</t>
  </si>
  <si>
    <t>ISB OUTLET DEPR EXP</t>
  </si>
  <si>
    <t>LHR OUTLET DEPR EXP</t>
  </si>
  <si>
    <t>IVAR ISB SHOP EMPLOYE SALARY EXP</t>
  </si>
  <si>
    <t>IVAR SHARFABAD SHOP EXP</t>
  </si>
  <si>
    <t>IVAR SHARFABAD SHOP EMPLOYE SALARY EXP</t>
  </si>
  <si>
    <t>IVAR ISLAMABAD SHOP EXP</t>
  </si>
  <si>
    <t>IVAR SHARFABAD SHOP RENT EXP</t>
  </si>
  <si>
    <t>SHARFABAD SHOP DEPR EXP</t>
  </si>
  <si>
    <t>SHARFABAD SHOP POS BANK CHARGES</t>
  </si>
  <si>
    <t>MEEZAN ACC 8231 BANK CHARGES</t>
  </si>
  <si>
    <t>SHARFABAD SHOP UTILITY EXP</t>
  </si>
  <si>
    <t>WITH HOLDING TAX EXP</t>
  </si>
  <si>
    <t>SHARFABAD SHOP CASH LOSS</t>
  </si>
  <si>
    <t>SHARFABAD SHOP PETTY CASH EXP</t>
  </si>
  <si>
    <t>GST LAWYER FEES EXP</t>
  </si>
  <si>
    <t>UBL 7741 BANK CHARGES</t>
  </si>
  <si>
    <t>MONTHLY GST CHALLAN</t>
  </si>
  <si>
    <t>EASY PAYSA DISCOUNT WORLD EXP FOR SHOP</t>
  </si>
  <si>
    <t>YOUSUF LAWYER SALARY EXP</t>
  </si>
  <si>
    <t>GST INVOICE COMMISSION EXP</t>
  </si>
  <si>
    <t>EASY PAYSA DIS WORLD EXP FOR ONLINE</t>
  </si>
  <si>
    <t>GST EXP</t>
  </si>
  <si>
    <t>TOTAL EXPENSES</t>
  </si>
  <si>
    <t>DISINVESTMENT</t>
  </si>
  <si>
    <t>OPENING STOCK</t>
  </si>
  <si>
    <t>IVAR WAREHOUSE STOCK</t>
  </si>
  <si>
    <t>IVAR BUKHARI SHOP STOCK</t>
  </si>
  <si>
    <t>IVAR LAHORE SHOP STOCK</t>
  </si>
  <si>
    <t>IVAR ISLAMABAD I8 SHOP STOCK</t>
  </si>
  <si>
    <t>IVAR SHARFABAD SHOP STOCK</t>
  </si>
  <si>
    <t>FABRIC</t>
  </si>
  <si>
    <t>ACCESSORIES</t>
  </si>
  <si>
    <t>B STOCK</t>
  </si>
  <si>
    <t>TOTAL STOCK</t>
  </si>
  <si>
    <t>TOTAL</t>
  </si>
  <si>
    <t>BALANCE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</si>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</sst>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_-* #,##0.00_-;\-* #,##0.00_-;_-* &quot;-&quot;??_-;_-@"/>
  </numFmts>
  <fonts count="10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20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  <scheme val="minor"/>
    </font>
    <font>
      <u/>
      <sz val="11"/>
      <color rgb="FF0000FF"/>
      <name val="Calibri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3" borderId="4" xfId="0" applyFont="1" applyFill="1" applyBorder="1" applyAlignment="1">
      <alignment horizontal="center"/>
    </xf>
    <xf numFmtId="0" fontId="5" fillId="0" borderId="4" xfId="0" applyFont="1" applyBorder="1"/>
    <xf numFmtId="0" fontId="4" fillId="4" borderId="4" xfId="0" applyFont="1" applyFill="1" applyBorder="1" applyAlignment="1">
      <alignment horizontal="center"/>
    </xf>
    <xf numFmtId="0" fontId="6" fillId="0" borderId="4" xfId="0" applyFont="1" applyBorder="1"/>
    <xf numFmtId="164" fontId="4" fillId="0" borderId="4" xfId="0" applyNumberFormat="1" applyFont="1" applyBorder="1"/>
    <xf numFmtId="164" fontId="6" fillId="0" borderId="5" xfId="0" applyNumberFormat="1" applyFont="1" applyBorder="1"/>
    <xf numFmtId="164" fontId="4" fillId="4" borderId="4" xfId="0" applyNumberFormat="1" applyFont="1" applyFill="1" applyBorder="1"/>
    <xf numFmtId="0" fontId="7" fillId="0" borderId="0" xfId="1" applyFill="1" applyBorder="1"/>
    <xf numFmtId="0" fontId="7" fillId="0" borderId="6" xfId="1" applyFill="1" applyBorder="1"/>
    <xf numFmtId="164" fontId="4" fillId="4" borderId="3" xfId="0" applyNumberFormat="1" applyFont="1" applyFill="1" applyBorder="1"/>
    <xf numFmtId="164" fontId="6" fillId="0" borderId="7" xfId="0" applyNumberFormat="1" applyFont="1" applyBorder="1"/>
    <xf numFmtId="164" fontId="6" fillId="0" borderId="4" xfId="0" applyNumberFormat="1" applyFont="1" applyBorder="1"/>
    <xf numFmtId="164" fontId="5" fillId="2" borderId="4" xfId="0" applyNumberFormat="1" applyFont="1" applyFill="1" applyBorder="1"/>
    <xf numFmtId="164" fontId="5" fillId="4" borderId="4" xfId="0" applyNumberFormat="1" applyFont="1" applyFill="1" applyBorder="1"/>
    <xf numFmtId="164" fontId="8" fillId="0" borderId="4" xfId="0" applyNumberFormat="1" applyFont="1" applyBorder="1"/>
    <xf numFmtId="0" fontId="6" fillId="0" borderId="0" xfId="0" applyFont="1"/>
    <xf numFmtId="164" fontId="5" fillId="0" borderId="4" xfId="0" applyNumberFormat="1" applyFont="1" applyBorder="1"/>
    <xf numFmtId="164" fontId="5" fillId="5" borderId="4" xfId="0" applyNumberFormat="1" applyFont="1" applyFill="1" applyBorder="1"/>
    <xf numFmtId="164" fontId="4" fillId="6" borderId="4" xfId="0" applyNumberFormat="1" applyFont="1" applyFill="1" applyBorder="1"/>
    <xf numFmtId="0" fontId="1" fillId="0" borderId="0" xfId="0" applyFont="1"/>
    <xf numFmtId="0" fontId="4" fillId="4" borderId="4" xfId="0" applyFont="1" applyFill="1" applyBorder="1"/>
    <xf numFmtId="0" fontId="8" fillId="0" borderId="4" xfId="0" applyFont="1" applyBorder="1"/>
    <xf numFmtId="164" fontId="5" fillId="6" borderId="4" xfId="0" applyNumberFormat="1" applyFont="1" applyFill="1" applyBorder="1"/>
    <xf numFmtId="0" fontId="5" fillId="4" borderId="4" xfId="0" applyFont="1" applyFill="1" applyBorder="1"/>
    <xf numFmtId="164" fontId="4" fillId="5" borderId="4" xfId="0" applyNumberFormat="1" applyFont="1" applyFill="1" applyBorder="1"/>
    <xf numFmtId="164" fontId="5" fillId="7" borderId="4" xfId="0" applyNumberFormat="1" applyFont="1" applyFill="1" applyBorder="1"/>
    <xf numFmtId="164" fontId="4" fillId="4" borderId="0" xfId="0" applyNumberFormat="1" applyFont="1" applyFill="1"/>
    <xf numFmtId="0" fontId="6" fillId="0" borderId="4" xfId="0" applyFont="1" applyBorder="1" applyAlignment="1">
      <alignment horizontal="left"/>
    </xf>
    <xf numFmtId="0" fontId="1" fillId="0" borderId="4" xfId="0" applyFont="1" applyBorder="1"/>
    <xf numFmtId="165" fontId="4" fillId="0" borderId="4" xfId="0" applyNumberFormat="1" applyFont="1" applyBorder="1"/>
    <xf numFmtId="0" fontId="9" fillId="0" borderId="4" xfId="0" applyFont="1" applyBorder="1"/>
    <xf numFmtId="0" fontId="5" fillId="5" borderId="4" xfId="0" applyFont="1" applyFill="1" applyBorder="1"/>
    <xf numFmtId="164" fontId="5" fillId="0" borderId="0" xfId="0" applyNumberFormat="1" applyFont="1"/>
    <xf numFmtId="0" fontId="4" fillId="4" borderId="0" xfId="0" applyFont="1" applyFill="1"/>
    <xf numFmtId="164" fontId="4" fillId="2" borderId="4" xfId="0" applyNumberFormat="1" applyFont="1" applyFill="1" applyBorder="1"/>
    <xf numFmtId="1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esktop\G.L%20RECORD%20MONTH%20OF%20JULY-26.xlsx" TargetMode="External"/><Relationship Id="rId1" Type="http://schemas.openxmlformats.org/officeDocument/2006/relationships/externalLinkPath" Target="G.L%20RECORD%20MONTH%20OF%20JULY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AAD CAPITAL"/>
      <sheetName val=" SAIM &amp; SAMEER CAPITAL"/>
      <sheetName val="REHMAN CAPITAL"/>
      <sheetName val="MAAZ CAPITAL"/>
      <sheetName val="YAFEEZ CAPITAL"/>
      <sheetName val="HANZALA CAPITAL"/>
      <sheetName val="SHAAD RCVBL"/>
      <sheetName val="ABHI PAY SHAAD RCVBLE"/>
      <sheetName val="SALE (ABHI PAY)"/>
      <sheetName val="ABHI PAY COMMISION EXP"/>
      <sheetName val="ABHI PAY TAX DEDUCT 3%"/>
      <sheetName val="SALE (BAAD MAY)"/>
      <sheetName val="BAAD MAY RCVBLE"/>
      <sheetName val="BAAD MAY COMMISION EXP"/>
      <sheetName val="BAAD MAY TAX DEDUCT EXP"/>
      <sheetName val="EASY PAYSA DISCOUNT WORLD RCVBL"/>
      <sheetName val="EASY PAYSA DIS WORLD RCVBLE FOR"/>
      <sheetName val="SILVER S P A C"/>
      <sheetName val="IVAR BUKHARI SHOP SALE"/>
      <sheetName val="IVAR BUKHARI SHOP DEBTORS"/>
      <sheetName val="BUKHARI SHOP BANK CHARGES"/>
      <sheetName val="IVAR BUKHARI SHOP RETURN"/>
      <sheetName val="  IVAR LAHORE SHOP SALE"/>
      <sheetName val="  IVAR LAHORE SHOP DEBTORS"/>
      <sheetName val="    IVAR LAHORE SHOP REFUND"/>
      <sheetName val=" LAHORE SHOP POS BANK CHARGES "/>
      <sheetName val="IVAR ISLAMABAD SHOP SALE"/>
      <sheetName val="IVAR ISLAMABAD SHOP DEBTORS"/>
      <sheetName val="IVAR ISLAMABAD SHOP REFUND"/>
      <sheetName val="ISLAMABAD SHOP POS BANK CHARGES"/>
      <sheetName val="MEEZAN AC 8231 BANK CHARGES"/>
      <sheetName val="IVAR SHARFABAD SHOP SALE"/>
      <sheetName val="IVAR SHARFABAD SHOP DEBTORS"/>
      <sheetName val="SHARFABAD SHOP POS BANK CHARGES"/>
      <sheetName val="IVAR SHARFABAD SHOP REFUND"/>
      <sheetName val="ISLAMABAD SHOP PETTY CASH EXP"/>
      <sheetName val="SHARFABAD SHOP PETTY CASH EXP"/>
      <sheetName val="GST LAWYER FEES EXP"/>
      <sheetName val="ISLAMABAD SHOP UTILITY EXP"/>
      <sheetName val="SHARFABAD SHOP UTILITY EXP"/>
      <sheetName val="WITH HOLDING TAX EXP"/>
      <sheetName val="SHARFABAD SHOP CASH LOSS"/>
      <sheetName val="IVAR BUKHARI SHOP EXP"/>
      <sheetName val="IVAR ISLAMABAD SHOP RENT EXP"/>
      <sheetName val="IVAR SHARFABAD SHOP RENT EXP"/>
      <sheetName val="IVAR ISB EMPLOYE SALARY EXP"/>
      <sheetName val="IVAR SHARFABAD SHOP SALARY EXP"/>
      <sheetName val="IVAR ISLAMABAD SHOP EXP"/>
      <sheetName val="IVAR SHARFABAD SHOP EXP"/>
      <sheetName val="IVAR LAHORE SHOP EXP"/>
      <sheetName val="ONLINE CSTMR SHOP REFUND"/>
      <sheetName val="FIXED ASSETS"/>
      <sheetName val="PLOT NO A-488 FIXED ASSETS"/>
      <sheetName val="MISC EXPENSES"/>
      <sheetName val="IVAR BUKHARI SHOP EXP (amanat)"/>
      <sheetName val="IVAR LAHORE SHOP EXP (AMANAT)"/>
      <sheetName val="IVAR ISLAMABAD SHOP EXP(AMANAT)"/>
      <sheetName val="IVAR SHARFABAD SHOP EXP(AMANAT)"/>
      <sheetName val="MAJEED FABRICS (AMANAT)"/>
      <sheetName val="BISMILLAH TAX INDUSTRIES(AMANAT"/>
      <sheetName val="SHARFABAD RENTAL AMANAT"/>
      <sheetName val="MBK PRIVATE LIMITED AMANAT"/>
      <sheetName val="ALI RAZA LHR (AMANAT)"/>
      <sheetName val="RAMZAN BHAI (AMANAT)"/>
      <sheetName val="HANZALA TRADERS (AMANAT)"/>
      <sheetName val="ZAHEER BUKHARI SHOP (AMANAT)"/>
      <sheetName val="WALEED VM (AMANAT)"/>
      <sheetName val="ISB SHOP PETTY CASH (AMANAT)"/>
      <sheetName val="YS DENIM (AMANAT)"/>
      <sheetName val="EHTISHAM BUKHARI STORE (AMANAT)"/>
      <sheetName val="MAAZ BHAI FRIEND (AMANAT)"/>
      <sheetName val="BABER STUDIO (AMANAT)"/>
      <sheetName val="NAJEED SHAAD BROKER (AMANAT)"/>
      <sheetName val="QASIM HEAD OF RETAIL (AMANAT)"/>
      <sheetName val="KASHAN (AMANAT)"/>
      <sheetName val="IVAR SHOP BKHARI PETY CASH EXP "/>
      <sheetName val="IVAR LAHORE SHOP PETTY CASH EXP"/>
      <sheetName val="VEHICLE MAINTENANCE EXP"/>
      <sheetName val="TARIQ ELECTRICAIN (AMANAT)"/>
      <sheetName val="AHAD CARPAINTER (AMANAT)"/>
      <sheetName val="KASHIF IVAR SHOP (AMANAT)"/>
      <sheetName val="SAAD PETTY CASH (AMANAT)"/>
      <sheetName val="SAAD PETTY CASH EXP"/>
      <sheetName val="OSAMA AFZAL (LHR TOUR AMANAT)"/>
      <sheetName val="IVAR BUKHARI SHOP UTILITY EXP"/>
      <sheetName val="IVAR LAHORE SHOP UTILITY EXP"/>
      <sheetName val="IVAR LAHORE SHOP EMPLOYE SALARY"/>
      <sheetName val="TRAVELLING EXPENSE"/>
      <sheetName val="IVAR BUKARI SHOP RENT EXP"/>
      <sheetName val="IVAR LAHORE SHOP RENT EXP"/>
      <sheetName val="REPAIRING EXPENSE"/>
      <sheetName val="WAREHOUSE RENT EXP"/>
      <sheetName val="WAREHOUSE RENT EXP A-488"/>
      <sheetName val="ENTERTAINMENT  EXPENSE"/>
      <sheetName val="NEW WAREHOUSE UTILITY EXP"/>
      <sheetName val="BUKHARI SHOP EMPLOYE SALARY EXP"/>
      <sheetName val="STOCK LOSS EXPENSE"/>
      <sheetName val="DISINVESTMENT"/>
      <sheetName val="E-COMMERCE EXP"/>
      <sheetName val="IVAR BUKHARI OUTLET"/>
      <sheetName val="PETTY CASH EXPENSE(IVAR)"/>
      <sheetName val="SOFTWEAR EXP"/>
      <sheetName val="T.G MARKETING EXP"/>
      <sheetName val="F.B ASTORE IVAR EXP"/>
      <sheetName val="GOODS &amp; TRANSPORT EXP"/>
      <sheetName val="AGENCY FEES EXP"/>
      <sheetName val="PHOTOGRAPHY &amp; SHOOT EXP"/>
      <sheetName val=" COMMISSION EXP"/>
      <sheetName val="SAIM &amp; SAMEER DRAWINGS"/>
      <sheetName val="REHMAN DRAWINGS"/>
      <sheetName val="YAFEEZ DRAWINGS"/>
      <sheetName val="MAAZ DRAWINGS"/>
      <sheetName val="HANZALA DRAWINGS"/>
      <sheetName val="ACCESSORIES PURCHASED"/>
      <sheetName val="CONCEPT PACKAGES PAYABLE"/>
      <sheetName val="JUNAID SHAIKH ACCESSORIES PAYEB"/>
      <sheetName val=" HAFIZ PRINTERS PAYBLE"/>
      <sheetName val="SHAHEER PRINTING PAYBLE"/>
      <sheetName val="SUSPENSE ACC"/>
      <sheetName val="T-SHIRT PURCHASED"/>
      <sheetName val="PURCHASE MISC "/>
      <sheetName val="LEGEL EXPENSE"/>
      <sheetName val="POST EX SALES"/>
      <sheetName val="POST EX TAX CHARGES"/>
      <sheetName val="POST EX CLAIM"/>
      <sheetName val="POST EX RCVBL"/>
      <sheetName val="SALE RETURN POST EX"/>
      <sheetName val="POST EX DELIVERY CHARGES"/>
      <sheetName val="DISPUTE PARCEL CS"/>
      <sheetName val="BLUE EX SALE"/>
      <sheetName val="BLUE EX RCVBLE"/>
      <sheetName val="SALE RETURN BLUE EX"/>
      <sheetName val="BLUE EX DELIVERY CHARGES"/>
      <sheetName val="COURIER NEXT RCVBLE"/>
      <sheetName val="COURIER NEXT SALES"/>
      <sheetName val="COURIER NEXT SALE RETURN"/>
      <sheetName val="COURIER NEXT TAX CHARGES"/>
      <sheetName val="COURIER NEXT DELIVERY CHARGES"/>
      <sheetName val="COURIER NEXT CLAIM"/>
      <sheetName val="SALE RETURN"/>
      <sheetName val="NICE SUPER MART SALE RETURN"/>
      <sheetName val="SALARY EXPENSE"/>
      <sheetName val="ALLIED CMT PAYBLE"/>
      <sheetName val="ALLIED FABRIC PURCHASE ON CASH"/>
      <sheetName val="PURCHASE RETURN"/>
      <sheetName val="U.G PURCHASE"/>
      <sheetName val="CMT PURCHASE"/>
      <sheetName val="PAJAMA PURCHASE"/>
      <sheetName val="ASTORE BAGS PAYBLE"/>
      <sheetName val="BAGS PURCHASE"/>
      <sheetName val="TEMPORARY LOAN"/>
      <sheetName val="SHAAD TEMPORARY LOAN"/>
      <sheetName val="TCS REVBL"/>
      <sheetName val="TCS SALES"/>
      <sheetName val="PETTY BUYERS SALES"/>
      <sheetName val="PETTY BUYER RCVBL"/>
      <sheetName val="  LAAM RCVBL"/>
      <sheetName val="LAAM SALE"/>
      <sheetName val="FABRIC PURCHASED"/>
      <sheetName val="MR.VALI ENTERPRIZE PAYBLE"/>
      <sheetName val="M.ISRAR ENTERPRISE PAYBLE"/>
      <sheetName val="FINE TAIRE FABRIC"/>
      <sheetName val="  GIFT &amp; SAMPLE &amp; INFLUENCER EX"/>
      <sheetName val="  GIFT &amp; SAMPLE &amp; INFLUENCER SA"/>
      <sheetName val="FATEH INDUSTRIES PAYBLE"/>
      <sheetName val="SHOES PURCHASE"/>
      <sheetName val="FRAGNANCE PURCHASE"/>
      <sheetName val="DYING PURCHASED"/>
      <sheetName val="ABDUL MUGHNI CMT PAYBLE"/>
      <sheetName val="1 STITCH SOLUTIONS PAYBLE"/>
      <sheetName val="KARACHI ONLINE SALE"/>
      <sheetName val="AHST APPAREL PAYBLE"/>
      <sheetName val="TODAY GARMENTS PAYBLE"/>
      <sheetName val="ALAM APPAREL PAYBLE"/>
      <sheetName val="ALAM APPERAL FABRIC PAYBLE"/>
      <sheetName val="AL AHAD FOOTWEAR"/>
      <sheetName val="AKRAM CONTRACTOR LEDGER"/>
      <sheetName val="J.K ENTERPRISES BUTTON"/>
      <sheetName val="MINAHEEL ENTERPRISE"/>
      <sheetName val="MISAAF ENERGY PVT LTD"/>
      <sheetName val="NK APPAREL PAYBLE"/>
      <sheetName val="HUMAIR GAGAI PAYBLE"/>
      <sheetName val="WALEED FOOTWEAR PAYBLE"/>
      <sheetName val="A.M APPAREL PAYBLE"/>
      <sheetName val="MIMA INTERNATIONAL FABRIC PAYBL"/>
      <sheetName val="TEZCO INDUSTRIES PAYBLE"/>
      <sheetName val="ALAM TEXTILE TRADING PAYBLE"/>
      <sheetName val="AHMED JAMAL TEXTILE MILLS"/>
      <sheetName val="CLAIMS ACC"/>
      <sheetName val="S.K.F POLYTEX"/>
      <sheetName val="OK TRADERS PAYBLE"/>
      <sheetName val="RKM CORPRATION PAYBLE"/>
      <sheetName val="KEMTEX PAYBLE"/>
      <sheetName val="KNITEX PAYBLE"/>
      <sheetName val="MOIZ YASIN FABRICATION PAYBLE"/>
      <sheetName val="MUSTAFA CLOTH (NOWSHERA) PAYBLE"/>
      <sheetName val="GUL AHMED TEXTILE MILLS PAYBLE"/>
      <sheetName val="MIMA INTERNATIONAL PAYBLE"/>
      <sheetName val="ARTISTIC PRINT HOUSE PAYBLE"/>
      <sheetName val="  RIZWAN DENIM FABRIC PAYBLE"/>
      <sheetName val="USMANI GARMENTS PAYBLE"/>
      <sheetName val="KHALIL FABRICS CASH"/>
      <sheetName val="FANSIA FRAGNANCE PAYBLE"/>
      <sheetName val="SHAAD FABRIC PAYBLE"/>
      <sheetName val="AL MAKKAH FABRICS CASH"/>
      <sheetName val="BADAMI SUITING CASH"/>
      <sheetName val="WAREHOUSE PROVISION DEPR ACC"/>
      <sheetName val="WAREHOUSE DEPRICIATION EXPENSE"/>
      <sheetName val="BUKHARI SHOP PROVISION DEPR ACC"/>
      <sheetName val="BUKHARI SHOP DEPR EXP"/>
      <sheetName val="GARMENTS PURCHASE"/>
      <sheetName val="PLOT NOA-488 PROVISON DEPR ACC"/>
      <sheetName val="PLOT NO A-488 DEPR EXP"/>
      <sheetName val="LAHORE SHOP PROVISION DEPR ACC"/>
      <sheetName val="LAHORE SHOP DEPR EXP"/>
      <sheetName val="SHARFABAD SHOP PROVISION DEPRAC"/>
      <sheetName val="SHARFABAD SHOP DEPR EXP"/>
      <sheetName val="ISB SHOP PROVISION DEPR ACC"/>
      <sheetName val="ISB SHOP DEPR EXP"/>
      <sheetName val="IVAR WAREHOUSE STOCK"/>
      <sheetName val="IVAR BUKHARI SHOP STOCK"/>
      <sheetName val="IVAR LAHORE SHOP STOCK"/>
      <sheetName val="IVAR ISLAMABAD I8 SHOP STOCK"/>
      <sheetName val="IVAR SHARFABAD SHOP STOCK"/>
      <sheetName val="FABRICS STOCK"/>
      <sheetName val="ACCESSORIES STOCK"/>
      <sheetName val="B STOCK"/>
      <sheetName val="CLAIM REMAINING BALANCE"/>
      <sheetName val="NAYAB FASHION MUZAFFARABAD"/>
      <sheetName val=" NICE SUPER MART"/>
      <sheetName val="TESCO SUPER MART"/>
      <sheetName val="NEW WAY SUPER MART"/>
      <sheetName val="OFFLINE SALE"/>
      <sheetName val="SECURITY DEPO PLOT NO A-488"/>
      <sheetName val="SECURITY DEPO LAHORE OUTLET"/>
      <sheetName val="METAL ASSETS"/>
      <sheetName val="GOLD S P A C"/>
      <sheetName val="ISLAMABAD  OUTLET"/>
      <sheetName val="LAHORE OUTLET"/>
      <sheetName val="IVAR STORE SHARFABAD"/>
      <sheetName val="IVAR FAISALABAD SHOP"/>
      <sheetName val="USD ASSETS"/>
      <sheetName val="TELECOM SECURITY DEPOSIT"/>
      <sheetName val="ADVERTISING CREDIT"/>
      <sheetName val="INCOME FORM FOREX MARKETING"/>
      <sheetName val="CASH AT LOCKER"/>
      <sheetName val="CASH AT HOME"/>
      <sheetName val="MEEZAN AC 8231"/>
      <sheetName val="UBL ACC 7741"/>
      <sheetName val="BANK AL FALAH ACC 2985"/>
      <sheetName val="UBL 7741 BANK CHARGES"/>
      <sheetName val="YOUSUF LAWYER SALARY EXP"/>
      <sheetName val="GST INVOICE COMMISSION EXP"/>
      <sheetName val="MONTHLY GST CHALLAN"/>
      <sheetName val="EASY PAYSA DISCOUNT WORLD EXP F"/>
      <sheetName val="EASY PAYSA DIS WORLD EXP FOR ON"/>
      <sheetName val="GST EXPENSE"/>
      <sheetName val="TRIAL BALANCE"/>
      <sheetName val="EXPENSE WORKING"/>
      <sheetName val="EXP SUMMARY"/>
      <sheetName val="EXPENSE BREAKUP"/>
      <sheetName val="CREDITOR SUMMARY"/>
    </sheetNames>
    <sheetDataSet>
      <sheetData sheetId="0">
        <row r="2">
          <cell r="F2">
            <v>128065176</v>
          </cell>
        </row>
      </sheetData>
      <sheetData sheetId="1">
        <row r="2">
          <cell r="F2">
            <v>14078409.4</v>
          </cell>
        </row>
      </sheetData>
      <sheetData sheetId="2">
        <row r="2">
          <cell r="F2">
            <v>3673426.2</v>
          </cell>
        </row>
      </sheetData>
      <sheetData sheetId="3">
        <row r="2">
          <cell r="F2">
            <v>4391731.666666667</v>
          </cell>
        </row>
      </sheetData>
      <sheetData sheetId="4">
        <row r="2">
          <cell r="F2">
            <v>4391731.666666667</v>
          </cell>
        </row>
      </sheetData>
      <sheetData sheetId="5">
        <row r="2">
          <cell r="F2">
            <v>4391731.666666667</v>
          </cell>
        </row>
      </sheetData>
      <sheetData sheetId="6">
        <row r="2">
          <cell r="F2">
            <v>8387236</v>
          </cell>
        </row>
      </sheetData>
      <sheetData sheetId="7">
        <row r="2">
          <cell r="F2">
            <v>898836.11000001058</v>
          </cell>
        </row>
      </sheetData>
      <sheetData sheetId="8">
        <row r="2">
          <cell r="F2">
            <v>0</v>
          </cell>
        </row>
      </sheetData>
      <sheetData sheetId="9">
        <row r="2">
          <cell r="F2">
            <v>0</v>
          </cell>
        </row>
      </sheetData>
      <sheetData sheetId="10">
        <row r="2">
          <cell r="F2">
            <v>0</v>
          </cell>
        </row>
      </sheetData>
      <sheetData sheetId="11">
        <row r="2">
          <cell r="F2">
            <v>0</v>
          </cell>
        </row>
      </sheetData>
      <sheetData sheetId="12">
        <row r="2">
          <cell r="F2">
            <v>302540.87999999803</v>
          </cell>
        </row>
      </sheetData>
      <sheetData sheetId="13">
        <row r="2">
          <cell r="F2">
            <v>0</v>
          </cell>
        </row>
      </sheetData>
      <sheetData sheetId="14">
        <row r="2">
          <cell r="F2">
            <v>0</v>
          </cell>
        </row>
      </sheetData>
      <sheetData sheetId="15">
        <row r="2">
          <cell r="F2">
            <v>0</v>
          </cell>
        </row>
      </sheetData>
      <sheetData sheetId="16">
        <row r="2">
          <cell r="F2">
            <v>-151.45500000007451</v>
          </cell>
        </row>
      </sheetData>
      <sheetData sheetId="17">
        <row r="2">
          <cell r="F2">
            <v>0</v>
          </cell>
        </row>
      </sheetData>
      <sheetData sheetId="18">
        <row r="2">
          <cell r="F2">
            <v>0</v>
          </cell>
        </row>
      </sheetData>
      <sheetData sheetId="19">
        <row r="2">
          <cell r="F2">
            <v>58494.24172001332</v>
          </cell>
        </row>
      </sheetData>
      <sheetData sheetId="20">
        <row r="2">
          <cell r="F2">
            <v>0</v>
          </cell>
        </row>
      </sheetData>
      <sheetData sheetId="21">
        <row r="2">
          <cell r="F2">
            <v>0</v>
          </cell>
        </row>
      </sheetData>
      <sheetData sheetId="22">
        <row r="2">
          <cell r="F2">
            <v>0</v>
          </cell>
        </row>
      </sheetData>
      <sheetData sheetId="23">
        <row r="2">
          <cell r="F2">
            <v>313634.05249001086</v>
          </cell>
        </row>
      </sheetData>
      <sheetData sheetId="24">
        <row r="2">
          <cell r="F2">
            <v>0</v>
          </cell>
        </row>
      </sheetData>
      <sheetData sheetId="25">
        <row r="2">
          <cell r="F2">
            <v>0</v>
          </cell>
        </row>
      </sheetData>
      <sheetData sheetId="26">
        <row r="2">
          <cell r="F2">
            <v>0</v>
          </cell>
        </row>
      </sheetData>
      <sheetData sheetId="27">
        <row r="2">
          <cell r="F2">
            <v>13284.855700001121</v>
          </cell>
        </row>
      </sheetData>
      <sheetData sheetId="28">
        <row r="2">
          <cell r="F2">
            <v>0</v>
          </cell>
        </row>
      </sheetData>
      <sheetData sheetId="29">
        <row r="2">
          <cell r="F2">
            <v>0</v>
          </cell>
        </row>
      </sheetData>
      <sheetData sheetId="30">
        <row r="2">
          <cell r="F2">
            <v>0</v>
          </cell>
        </row>
      </sheetData>
      <sheetData sheetId="31">
        <row r="2">
          <cell r="F2">
            <v>0</v>
          </cell>
        </row>
      </sheetData>
      <sheetData sheetId="32">
        <row r="2">
          <cell r="F2">
            <v>267768.18429999053</v>
          </cell>
        </row>
      </sheetData>
      <sheetData sheetId="33">
        <row r="2">
          <cell r="F2">
            <v>0</v>
          </cell>
        </row>
      </sheetData>
      <sheetData sheetId="34">
        <row r="2">
          <cell r="F2">
            <v>0</v>
          </cell>
        </row>
      </sheetData>
      <sheetData sheetId="35">
        <row r="2">
          <cell r="F2">
            <v>0</v>
          </cell>
        </row>
      </sheetData>
      <sheetData sheetId="36">
        <row r="2">
          <cell r="F2">
            <v>0</v>
          </cell>
        </row>
      </sheetData>
      <sheetData sheetId="37">
        <row r="2">
          <cell r="F2">
            <v>0</v>
          </cell>
        </row>
      </sheetData>
      <sheetData sheetId="38">
        <row r="2">
          <cell r="F2">
            <v>0</v>
          </cell>
        </row>
      </sheetData>
      <sheetData sheetId="39">
        <row r="2">
          <cell r="F2">
            <v>0</v>
          </cell>
        </row>
      </sheetData>
      <sheetData sheetId="40">
        <row r="2">
          <cell r="F2">
            <v>0</v>
          </cell>
        </row>
      </sheetData>
      <sheetData sheetId="41">
        <row r="2">
          <cell r="F2">
            <v>0</v>
          </cell>
        </row>
      </sheetData>
      <sheetData sheetId="42">
        <row r="2">
          <cell r="F2">
            <v>0</v>
          </cell>
        </row>
      </sheetData>
      <sheetData sheetId="43">
        <row r="2">
          <cell r="F2">
            <v>0</v>
          </cell>
        </row>
      </sheetData>
      <sheetData sheetId="44">
        <row r="2">
          <cell r="F2">
            <v>0</v>
          </cell>
        </row>
      </sheetData>
      <sheetData sheetId="45">
        <row r="2">
          <cell r="F2">
            <v>0</v>
          </cell>
        </row>
      </sheetData>
      <sheetData sheetId="46">
        <row r="2">
          <cell r="F2">
            <v>0</v>
          </cell>
        </row>
      </sheetData>
      <sheetData sheetId="47">
        <row r="2">
          <cell r="F2">
            <v>0</v>
          </cell>
        </row>
      </sheetData>
      <sheetData sheetId="48">
        <row r="2">
          <cell r="F2">
            <v>0</v>
          </cell>
        </row>
      </sheetData>
      <sheetData sheetId="49">
        <row r="2">
          <cell r="F2">
            <v>0</v>
          </cell>
        </row>
      </sheetData>
      <sheetData sheetId="50">
        <row r="2">
          <cell r="F2">
            <v>0</v>
          </cell>
        </row>
      </sheetData>
      <sheetData sheetId="51">
        <row r="2">
          <cell r="F2">
            <v>2216124</v>
          </cell>
        </row>
      </sheetData>
      <sheetData sheetId="52">
        <row r="2">
          <cell r="F2">
            <v>7794070.6600000001</v>
          </cell>
        </row>
      </sheetData>
      <sheetData sheetId="53">
        <row r="2">
          <cell r="F2">
            <v>0</v>
          </cell>
        </row>
      </sheetData>
      <sheetData sheetId="54">
        <row r="2">
          <cell r="F2">
            <v>19890</v>
          </cell>
        </row>
      </sheetData>
      <sheetData sheetId="55">
        <row r="2">
          <cell r="F2">
            <v>1856</v>
          </cell>
        </row>
      </sheetData>
      <sheetData sheetId="56">
        <row r="2">
          <cell r="F2">
            <v>1940</v>
          </cell>
        </row>
      </sheetData>
      <sheetData sheetId="57">
        <row r="2">
          <cell r="F2">
            <v>0</v>
          </cell>
        </row>
      </sheetData>
      <sheetData sheetId="58">
        <row r="2">
          <cell r="F2">
            <v>-249</v>
          </cell>
        </row>
      </sheetData>
      <sheetData sheetId="59">
        <row r="2">
          <cell r="F2">
            <v>47600.533900000155</v>
          </cell>
        </row>
      </sheetData>
      <sheetData sheetId="60">
        <row r="2">
          <cell r="F2">
            <v>0</v>
          </cell>
        </row>
      </sheetData>
      <sheetData sheetId="61">
        <row r="2">
          <cell r="F2">
            <v>85213</v>
          </cell>
        </row>
      </sheetData>
      <sheetData sheetId="62">
        <row r="2">
          <cell r="F2">
            <v>0</v>
          </cell>
        </row>
      </sheetData>
      <sheetData sheetId="63">
        <row r="2">
          <cell r="F2">
            <v>0</v>
          </cell>
        </row>
      </sheetData>
      <sheetData sheetId="64">
        <row r="2">
          <cell r="F2">
            <v>82650</v>
          </cell>
        </row>
      </sheetData>
      <sheetData sheetId="65">
        <row r="2">
          <cell r="F2">
            <v>0</v>
          </cell>
        </row>
      </sheetData>
      <sheetData sheetId="66">
        <row r="2">
          <cell r="F2">
            <v>0</v>
          </cell>
        </row>
      </sheetData>
      <sheetData sheetId="67"/>
      <sheetData sheetId="68">
        <row r="2">
          <cell r="F2">
            <v>9990</v>
          </cell>
        </row>
      </sheetData>
      <sheetData sheetId="69">
        <row r="2">
          <cell r="F2">
            <v>0</v>
          </cell>
        </row>
      </sheetData>
      <sheetData sheetId="70"/>
      <sheetData sheetId="71">
        <row r="2">
          <cell r="F2">
            <v>0</v>
          </cell>
        </row>
      </sheetData>
      <sheetData sheetId="72">
        <row r="2">
          <cell r="F2">
            <v>0</v>
          </cell>
        </row>
      </sheetData>
      <sheetData sheetId="73">
        <row r="2">
          <cell r="F2">
            <v>40000</v>
          </cell>
        </row>
      </sheetData>
      <sheetData sheetId="74">
        <row r="2">
          <cell r="F2">
            <v>50000</v>
          </cell>
        </row>
      </sheetData>
      <sheetData sheetId="75">
        <row r="2">
          <cell r="F2">
            <v>0</v>
          </cell>
        </row>
      </sheetData>
      <sheetData sheetId="76">
        <row r="2">
          <cell r="F2">
            <v>0</v>
          </cell>
        </row>
      </sheetData>
      <sheetData sheetId="77">
        <row r="2">
          <cell r="F2">
            <v>0</v>
          </cell>
        </row>
      </sheetData>
      <sheetData sheetId="78">
        <row r="2">
          <cell r="F2">
            <v>161</v>
          </cell>
        </row>
      </sheetData>
      <sheetData sheetId="79">
        <row r="2">
          <cell r="F2">
            <v>0</v>
          </cell>
        </row>
      </sheetData>
      <sheetData sheetId="80">
        <row r="2">
          <cell r="F2">
            <v>0</v>
          </cell>
        </row>
      </sheetData>
      <sheetData sheetId="81">
        <row r="2">
          <cell r="F2">
            <v>83219</v>
          </cell>
        </row>
      </sheetData>
      <sheetData sheetId="82">
        <row r="2">
          <cell r="F2">
            <v>0</v>
          </cell>
        </row>
      </sheetData>
      <sheetData sheetId="83">
        <row r="2">
          <cell r="F2">
            <v>0</v>
          </cell>
        </row>
      </sheetData>
      <sheetData sheetId="84">
        <row r="2">
          <cell r="F2">
            <v>0</v>
          </cell>
        </row>
      </sheetData>
      <sheetData sheetId="85">
        <row r="2">
          <cell r="F2">
            <v>0</v>
          </cell>
        </row>
      </sheetData>
      <sheetData sheetId="86">
        <row r="2">
          <cell r="F2">
            <v>0</v>
          </cell>
        </row>
      </sheetData>
      <sheetData sheetId="87">
        <row r="2">
          <cell r="F2">
            <v>0</v>
          </cell>
        </row>
      </sheetData>
      <sheetData sheetId="88">
        <row r="2">
          <cell r="F2">
            <v>0</v>
          </cell>
        </row>
      </sheetData>
      <sheetData sheetId="89">
        <row r="2">
          <cell r="F2">
            <v>0</v>
          </cell>
        </row>
      </sheetData>
      <sheetData sheetId="90">
        <row r="2">
          <cell r="F2">
            <v>0</v>
          </cell>
        </row>
      </sheetData>
      <sheetData sheetId="91">
        <row r="2">
          <cell r="F2">
            <v>0</v>
          </cell>
        </row>
      </sheetData>
      <sheetData sheetId="92">
        <row r="2">
          <cell r="F2">
            <v>0</v>
          </cell>
        </row>
      </sheetData>
      <sheetData sheetId="93">
        <row r="2">
          <cell r="F2">
            <v>0</v>
          </cell>
        </row>
      </sheetData>
      <sheetData sheetId="94">
        <row r="2">
          <cell r="F2">
            <v>0</v>
          </cell>
        </row>
      </sheetData>
      <sheetData sheetId="95">
        <row r="2">
          <cell r="F2">
            <v>0</v>
          </cell>
        </row>
      </sheetData>
      <sheetData sheetId="96">
        <row r="2">
          <cell r="F2">
            <v>0</v>
          </cell>
        </row>
      </sheetData>
      <sheetData sheetId="97">
        <row r="2">
          <cell r="F2">
            <v>0</v>
          </cell>
        </row>
      </sheetData>
      <sheetData sheetId="98">
        <row r="2">
          <cell r="F2">
            <v>0</v>
          </cell>
        </row>
      </sheetData>
      <sheetData sheetId="99">
        <row r="2">
          <cell r="F2">
            <v>6847492.6600000001</v>
          </cell>
        </row>
      </sheetData>
      <sheetData sheetId="100">
        <row r="2">
          <cell r="F2">
            <v>0</v>
          </cell>
        </row>
      </sheetData>
      <sheetData sheetId="101">
        <row r="2">
          <cell r="F2">
            <v>0</v>
          </cell>
        </row>
      </sheetData>
      <sheetData sheetId="102">
        <row r="2">
          <cell r="F2">
            <v>0</v>
          </cell>
        </row>
      </sheetData>
      <sheetData sheetId="103">
        <row r="2">
          <cell r="F2">
            <v>0</v>
          </cell>
        </row>
      </sheetData>
      <sheetData sheetId="104">
        <row r="2">
          <cell r="F2">
            <v>0</v>
          </cell>
        </row>
      </sheetData>
      <sheetData sheetId="105">
        <row r="2">
          <cell r="F2">
            <v>0</v>
          </cell>
        </row>
      </sheetData>
      <sheetData sheetId="106">
        <row r="2">
          <cell r="F2">
            <v>0</v>
          </cell>
        </row>
      </sheetData>
      <sheetData sheetId="107">
        <row r="2">
          <cell r="F2">
            <v>0</v>
          </cell>
        </row>
      </sheetData>
      <sheetData sheetId="108">
        <row r="2">
          <cell r="F2">
            <v>0</v>
          </cell>
        </row>
      </sheetData>
      <sheetData sheetId="109">
        <row r="2">
          <cell r="F2">
            <v>0</v>
          </cell>
        </row>
      </sheetData>
      <sheetData sheetId="110">
        <row r="2">
          <cell r="F2">
            <v>0</v>
          </cell>
        </row>
      </sheetData>
      <sheetData sheetId="111">
        <row r="2">
          <cell r="F2">
            <v>0</v>
          </cell>
        </row>
      </sheetData>
      <sheetData sheetId="112">
        <row r="2">
          <cell r="F2">
            <v>0</v>
          </cell>
        </row>
      </sheetData>
      <sheetData sheetId="113">
        <row r="2">
          <cell r="F2">
            <v>0</v>
          </cell>
        </row>
      </sheetData>
      <sheetData sheetId="114">
        <row r="2">
          <cell r="F2">
            <v>253124</v>
          </cell>
        </row>
      </sheetData>
      <sheetData sheetId="115">
        <row r="2">
          <cell r="F2">
            <v>139542</v>
          </cell>
        </row>
      </sheetData>
      <sheetData sheetId="116">
        <row r="2">
          <cell r="F2">
            <v>0</v>
          </cell>
        </row>
      </sheetData>
      <sheetData sheetId="117">
        <row r="2">
          <cell r="F2">
            <v>2092196</v>
          </cell>
        </row>
      </sheetData>
      <sheetData sheetId="118">
        <row r="2">
          <cell r="F2">
            <v>5300</v>
          </cell>
        </row>
      </sheetData>
      <sheetData sheetId="119">
        <row r="2">
          <cell r="F2">
            <v>0</v>
          </cell>
        </row>
      </sheetData>
      <sheetData sheetId="120">
        <row r="2">
          <cell r="F2">
            <v>0</v>
          </cell>
        </row>
      </sheetData>
      <sheetData sheetId="121">
        <row r="2">
          <cell r="F2">
            <v>0</v>
          </cell>
        </row>
      </sheetData>
      <sheetData sheetId="122">
        <row r="2">
          <cell r="F2">
            <v>0</v>
          </cell>
        </row>
      </sheetData>
      <sheetData sheetId="123">
        <row r="2">
          <cell r="F2">
            <v>0</v>
          </cell>
        </row>
      </sheetData>
      <sheetData sheetId="124">
        <row r="2">
          <cell r="F2">
            <v>0</v>
          </cell>
        </row>
      </sheetData>
      <sheetData sheetId="125">
        <row r="2">
          <cell r="F2">
            <v>7797394.819999963</v>
          </cell>
        </row>
      </sheetData>
      <sheetData sheetId="126">
        <row r="2">
          <cell r="F2">
            <v>0</v>
          </cell>
        </row>
      </sheetData>
      <sheetData sheetId="127">
        <row r="2">
          <cell r="F2">
            <v>0</v>
          </cell>
        </row>
      </sheetData>
      <sheetData sheetId="128">
        <row r="2">
          <cell r="F2">
            <v>0</v>
          </cell>
        </row>
      </sheetData>
      <sheetData sheetId="129">
        <row r="2">
          <cell r="F2">
            <v>0</v>
          </cell>
        </row>
      </sheetData>
      <sheetData sheetId="130">
        <row r="2">
          <cell r="F2">
            <v>5699</v>
          </cell>
        </row>
      </sheetData>
      <sheetData sheetId="131">
        <row r="2">
          <cell r="F2">
            <v>0</v>
          </cell>
        </row>
      </sheetData>
      <sheetData sheetId="132">
        <row r="2">
          <cell r="F2">
            <v>0</v>
          </cell>
        </row>
      </sheetData>
      <sheetData sheetId="133">
        <row r="2">
          <cell r="F2">
            <v>2477502.4499999806</v>
          </cell>
        </row>
      </sheetData>
      <sheetData sheetId="134">
        <row r="2">
          <cell r="F2">
            <v>0</v>
          </cell>
        </row>
      </sheetData>
      <sheetData sheetId="135">
        <row r="2">
          <cell r="F2">
            <v>0</v>
          </cell>
        </row>
      </sheetData>
      <sheetData sheetId="136">
        <row r="2">
          <cell r="F2">
            <v>0</v>
          </cell>
        </row>
      </sheetData>
      <sheetData sheetId="137">
        <row r="2">
          <cell r="F2">
            <v>0</v>
          </cell>
        </row>
      </sheetData>
      <sheetData sheetId="138">
        <row r="2">
          <cell r="F2">
            <v>32070</v>
          </cell>
        </row>
      </sheetData>
      <sheetData sheetId="139">
        <row r="2">
          <cell r="F2">
            <v>0</v>
          </cell>
        </row>
      </sheetData>
      <sheetData sheetId="140">
        <row r="2">
          <cell r="F2">
            <v>0</v>
          </cell>
        </row>
      </sheetData>
      <sheetData sheetId="141">
        <row r="2">
          <cell r="F2">
            <v>0</v>
          </cell>
        </row>
      </sheetData>
      <sheetData sheetId="142">
        <row r="2">
          <cell r="F2">
            <v>733</v>
          </cell>
        </row>
      </sheetData>
      <sheetData sheetId="143">
        <row r="2">
          <cell r="F2">
            <v>-321920</v>
          </cell>
        </row>
      </sheetData>
      <sheetData sheetId="144">
        <row r="2">
          <cell r="F2">
            <v>0</v>
          </cell>
        </row>
      </sheetData>
      <sheetData sheetId="145">
        <row r="2">
          <cell r="F2">
            <v>0</v>
          </cell>
        </row>
      </sheetData>
      <sheetData sheetId="146">
        <row r="2">
          <cell r="F2">
            <v>0</v>
          </cell>
        </row>
      </sheetData>
      <sheetData sheetId="147">
        <row r="2">
          <cell r="F2">
            <v>0</v>
          </cell>
        </row>
      </sheetData>
      <sheetData sheetId="148">
        <row r="2">
          <cell r="F2">
            <v>360</v>
          </cell>
        </row>
      </sheetData>
      <sheetData sheetId="149">
        <row r="2">
          <cell r="F2">
            <v>0</v>
          </cell>
        </row>
      </sheetData>
      <sheetData sheetId="150">
        <row r="2">
          <cell r="F2">
            <v>250380</v>
          </cell>
        </row>
      </sheetData>
      <sheetData sheetId="151">
        <row r="2">
          <cell r="F2">
            <v>0</v>
          </cell>
        </row>
      </sheetData>
      <sheetData sheetId="152">
        <row r="2">
          <cell r="F2">
            <v>6760</v>
          </cell>
        </row>
      </sheetData>
      <sheetData sheetId="153">
        <row r="2">
          <cell r="F2">
            <v>0</v>
          </cell>
        </row>
      </sheetData>
      <sheetData sheetId="154">
        <row r="2">
          <cell r="F2">
            <v>0</v>
          </cell>
        </row>
      </sheetData>
      <sheetData sheetId="155">
        <row r="2">
          <cell r="F2">
            <v>124693</v>
          </cell>
        </row>
      </sheetData>
      <sheetData sheetId="156">
        <row r="2">
          <cell r="F2">
            <v>172366.45</v>
          </cell>
        </row>
      </sheetData>
      <sheetData sheetId="157">
        <row r="2">
          <cell r="F2">
            <v>0</v>
          </cell>
        </row>
      </sheetData>
      <sheetData sheetId="158">
        <row r="2">
          <cell r="F2">
            <v>0</v>
          </cell>
        </row>
      </sheetData>
      <sheetData sheetId="159">
        <row r="2">
          <cell r="F2">
            <v>317489</v>
          </cell>
        </row>
      </sheetData>
      <sheetData sheetId="160">
        <row r="2">
          <cell r="F2">
            <v>0</v>
          </cell>
        </row>
      </sheetData>
      <sheetData sheetId="161">
        <row r="2">
          <cell r="F2">
            <v>0</v>
          </cell>
        </row>
      </sheetData>
      <sheetData sheetId="162">
        <row r="2">
          <cell r="F2">
            <v>0</v>
          </cell>
        </row>
      </sheetData>
      <sheetData sheetId="163">
        <row r="2">
          <cell r="F2">
            <v>0</v>
          </cell>
        </row>
      </sheetData>
      <sheetData sheetId="164">
        <row r="2">
          <cell r="F2">
            <v>3282054</v>
          </cell>
        </row>
      </sheetData>
      <sheetData sheetId="165">
        <row r="2">
          <cell r="F2">
            <v>0</v>
          </cell>
        </row>
      </sheetData>
      <sheetData sheetId="166">
        <row r="2">
          <cell r="F2">
            <v>0</v>
          </cell>
        </row>
      </sheetData>
      <sheetData sheetId="167">
        <row r="2">
          <cell r="F2">
            <v>0</v>
          </cell>
        </row>
      </sheetData>
      <sheetData sheetId="168">
        <row r="2">
          <cell r="F2">
            <v>3352640</v>
          </cell>
        </row>
      </sheetData>
      <sheetData sheetId="169">
        <row r="2">
          <cell r="F2">
            <v>124180</v>
          </cell>
        </row>
      </sheetData>
      <sheetData sheetId="170">
        <row r="2">
          <cell r="F2">
            <v>0</v>
          </cell>
        </row>
      </sheetData>
      <sheetData sheetId="171">
        <row r="2">
          <cell r="F2">
            <v>0</v>
          </cell>
        </row>
      </sheetData>
      <sheetData sheetId="172">
        <row r="2">
          <cell r="F2">
            <v>0</v>
          </cell>
        </row>
      </sheetData>
      <sheetData sheetId="173">
        <row r="2">
          <cell r="F2">
            <v>1357923</v>
          </cell>
        </row>
      </sheetData>
      <sheetData sheetId="174">
        <row r="2">
          <cell r="F2">
            <v>199853</v>
          </cell>
        </row>
      </sheetData>
      <sheetData sheetId="175">
        <row r="2">
          <cell r="F2">
            <v>-644000</v>
          </cell>
        </row>
      </sheetData>
      <sheetData sheetId="176">
        <row r="2">
          <cell r="F2">
            <v>-404067</v>
          </cell>
        </row>
      </sheetData>
      <sheetData sheetId="177">
        <row r="2">
          <cell r="F2">
            <v>147000</v>
          </cell>
        </row>
      </sheetData>
      <sheetData sheetId="178">
        <row r="2">
          <cell r="F2">
            <v>0</v>
          </cell>
        </row>
      </sheetData>
      <sheetData sheetId="179">
        <row r="2">
          <cell r="F2">
            <v>0</v>
          </cell>
        </row>
      </sheetData>
      <sheetData sheetId="180">
        <row r="2">
          <cell r="F2">
            <v>574660</v>
          </cell>
        </row>
      </sheetData>
      <sheetData sheetId="181">
        <row r="2">
          <cell r="F2">
            <v>3147570</v>
          </cell>
        </row>
      </sheetData>
      <sheetData sheetId="182">
        <row r="2">
          <cell r="F2">
            <v>473250</v>
          </cell>
        </row>
      </sheetData>
      <sheetData sheetId="183">
        <row r="2">
          <cell r="F2">
            <v>704320</v>
          </cell>
        </row>
      </sheetData>
      <sheetData sheetId="184">
        <row r="2">
          <cell r="F2">
            <v>1500520</v>
          </cell>
        </row>
      </sheetData>
      <sheetData sheetId="185">
        <row r="2">
          <cell r="F2">
            <v>671600</v>
          </cell>
        </row>
      </sheetData>
      <sheetData sheetId="186">
        <row r="2">
          <cell r="F2">
            <v>28500</v>
          </cell>
        </row>
      </sheetData>
      <sheetData sheetId="187">
        <row r="2">
          <cell r="F2">
            <v>680615</v>
          </cell>
        </row>
      </sheetData>
      <sheetData sheetId="188">
        <row r="2">
          <cell r="F2">
            <v>0</v>
          </cell>
        </row>
      </sheetData>
      <sheetData sheetId="189">
        <row r="2">
          <cell r="F2">
            <v>28210</v>
          </cell>
        </row>
      </sheetData>
      <sheetData sheetId="190">
        <row r="2">
          <cell r="F2">
            <v>748</v>
          </cell>
        </row>
      </sheetData>
      <sheetData sheetId="191">
        <row r="2">
          <cell r="F2">
            <v>-5162420</v>
          </cell>
        </row>
      </sheetData>
      <sheetData sheetId="192">
        <row r="2">
          <cell r="F2">
            <v>599200</v>
          </cell>
        </row>
      </sheetData>
      <sheetData sheetId="193">
        <row r="2">
          <cell r="F2">
            <v>-1975000</v>
          </cell>
        </row>
      </sheetData>
      <sheetData sheetId="194">
        <row r="2">
          <cell r="F2">
            <v>13007145</v>
          </cell>
        </row>
      </sheetData>
      <sheetData sheetId="195">
        <row r="2">
          <cell r="F2">
            <v>416</v>
          </cell>
        </row>
      </sheetData>
      <sheetData sheetId="196">
        <row r="2">
          <cell r="F2">
            <v>4076015</v>
          </cell>
        </row>
      </sheetData>
      <sheetData sheetId="197">
        <row r="2">
          <cell r="F2">
            <v>732520</v>
          </cell>
        </row>
      </sheetData>
      <sheetData sheetId="198">
        <row r="2">
          <cell r="F2">
            <v>0</v>
          </cell>
        </row>
      </sheetData>
      <sheetData sheetId="199">
        <row r="2">
          <cell r="F2">
            <v>120699</v>
          </cell>
        </row>
      </sheetData>
      <sheetData sheetId="200">
        <row r="2">
          <cell r="F2">
            <v>1667384</v>
          </cell>
        </row>
      </sheetData>
      <sheetData sheetId="201">
        <row r="2">
          <cell r="F2">
            <v>0</v>
          </cell>
        </row>
      </sheetData>
      <sheetData sheetId="202">
        <row r="2">
          <cell r="F2">
            <v>0</v>
          </cell>
        </row>
      </sheetData>
      <sheetData sheetId="203">
        <row r="2">
          <cell r="F2">
            <v>0</v>
          </cell>
        </row>
      </sheetData>
      <sheetData sheetId="204">
        <row r="2">
          <cell r="F2">
            <v>-4904</v>
          </cell>
        </row>
      </sheetData>
      <sheetData sheetId="205">
        <row r="2">
          <cell r="F2">
            <v>2495407</v>
          </cell>
        </row>
      </sheetData>
      <sheetData sheetId="206">
        <row r="2">
          <cell r="F2">
            <v>415570.4</v>
          </cell>
        </row>
      </sheetData>
      <sheetData sheetId="207">
        <row r="2">
          <cell r="F2">
            <v>0</v>
          </cell>
        </row>
      </sheetData>
      <sheetData sheetId="208">
        <row r="2">
          <cell r="F2">
            <v>1228407.9600000002</v>
          </cell>
        </row>
      </sheetData>
      <sheetData sheetId="209">
        <row r="2">
          <cell r="F2">
            <v>0</v>
          </cell>
        </row>
      </sheetData>
      <sheetData sheetId="210">
        <row r="2">
          <cell r="F2">
            <v>0</v>
          </cell>
        </row>
      </sheetData>
      <sheetData sheetId="211">
        <row r="2">
          <cell r="F2">
            <v>566980.30999999994</v>
          </cell>
        </row>
      </sheetData>
      <sheetData sheetId="212">
        <row r="2">
          <cell r="F2">
            <v>0</v>
          </cell>
        </row>
      </sheetData>
      <sheetData sheetId="213">
        <row r="2">
          <cell r="F2">
            <v>815106.18</v>
          </cell>
        </row>
      </sheetData>
      <sheetData sheetId="214">
        <row r="2">
          <cell r="F2">
            <v>0</v>
          </cell>
        </row>
      </sheetData>
      <sheetData sheetId="215">
        <row r="2">
          <cell r="F2">
            <v>1174129.4099999999</v>
          </cell>
        </row>
      </sheetData>
      <sheetData sheetId="216">
        <row r="2">
          <cell r="F2">
            <v>0</v>
          </cell>
        </row>
      </sheetData>
      <sheetData sheetId="217">
        <row r="2">
          <cell r="F2">
            <v>1220276.1399999999</v>
          </cell>
        </row>
      </sheetData>
      <sheetData sheetId="218">
        <row r="2">
          <cell r="F2">
            <v>0</v>
          </cell>
        </row>
      </sheetData>
      <sheetData sheetId="219">
        <row r="2">
          <cell r="F2">
            <v>35567668</v>
          </cell>
        </row>
      </sheetData>
      <sheetData sheetId="220">
        <row r="2">
          <cell r="F2">
            <v>3431978</v>
          </cell>
        </row>
      </sheetData>
      <sheetData sheetId="221">
        <row r="2">
          <cell r="F2">
            <v>6933457</v>
          </cell>
        </row>
      </sheetData>
      <sheetData sheetId="222">
        <row r="2">
          <cell r="F2">
            <v>4841348</v>
          </cell>
        </row>
      </sheetData>
      <sheetData sheetId="223">
        <row r="2">
          <cell r="F2">
            <v>6423274</v>
          </cell>
        </row>
      </sheetData>
      <sheetData sheetId="224">
        <row r="2">
          <cell r="F2">
            <v>24564043</v>
          </cell>
        </row>
      </sheetData>
      <sheetData sheetId="225">
        <row r="2">
          <cell r="F2">
            <v>9575942</v>
          </cell>
        </row>
      </sheetData>
      <sheetData sheetId="226">
        <row r="2">
          <cell r="F2">
            <v>4672507</v>
          </cell>
        </row>
      </sheetData>
      <sheetData sheetId="227">
        <row r="2">
          <cell r="F2">
            <v>-21918</v>
          </cell>
        </row>
      </sheetData>
      <sheetData sheetId="228">
        <row r="2">
          <cell r="F2">
            <v>1713</v>
          </cell>
        </row>
      </sheetData>
      <sheetData sheetId="229">
        <row r="2">
          <cell r="F2">
            <v>0</v>
          </cell>
        </row>
      </sheetData>
      <sheetData sheetId="230">
        <row r="2">
          <cell r="F2">
            <v>34850</v>
          </cell>
        </row>
      </sheetData>
      <sheetData sheetId="231">
        <row r="2">
          <cell r="F2">
            <v>34850</v>
          </cell>
        </row>
      </sheetData>
      <sheetData sheetId="232">
        <row r="2">
          <cell r="F2">
            <v>0</v>
          </cell>
        </row>
      </sheetData>
      <sheetData sheetId="233">
        <row r="2">
          <cell r="F2">
            <v>690000</v>
          </cell>
        </row>
      </sheetData>
      <sheetData sheetId="234">
        <row r="2">
          <cell r="F2">
            <v>855000</v>
          </cell>
        </row>
      </sheetData>
      <sheetData sheetId="235">
        <row r="2">
          <cell r="F2">
            <v>4465719</v>
          </cell>
        </row>
      </sheetData>
      <sheetData sheetId="236">
        <row r="2">
          <cell r="F2">
            <v>0</v>
          </cell>
        </row>
      </sheetData>
      <sheetData sheetId="237">
        <row r="2">
          <cell r="F2">
            <v>15783156</v>
          </cell>
        </row>
      </sheetData>
      <sheetData sheetId="238">
        <row r="2">
          <cell r="F2">
            <v>10055755.66</v>
          </cell>
        </row>
      </sheetData>
      <sheetData sheetId="239">
        <row r="2">
          <cell r="F2">
            <v>24742589</v>
          </cell>
        </row>
      </sheetData>
      <sheetData sheetId="240">
        <row r="2">
          <cell r="F2">
            <v>250000</v>
          </cell>
        </row>
      </sheetData>
      <sheetData sheetId="241">
        <row r="2">
          <cell r="F2">
            <v>1425000</v>
          </cell>
        </row>
      </sheetData>
      <sheetData sheetId="242">
        <row r="2">
          <cell r="F2">
            <v>15250</v>
          </cell>
        </row>
      </sheetData>
      <sheetData sheetId="243">
        <row r="2">
          <cell r="F2">
            <v>272503.30305000005</v>
          </cell>
        </row>
      </sheetData>
      <sheetData sheetId="244">
        <row r="2">
          <cell r="F2">
            <v>0</v>
          </cell>
        </row>
      </sheetData>
      <sheetData sheetId="245">
        <row r="2">
          <cell r="F2">
            <v>0</v>
          </cell>
        </row>
      </sheetData>
      <sheetData sheetId="246">
        <row r="2">
          <cell r="F2">
            <v>0</v>
          </cell>
        </row>
      </sheetData>
      <sheetData sheetId="247">
        <row r="2">
          <cell r="F2">
            <v>3214051.4561000057</v>
          </cell>
        </row>
      </sheetData>
      <sheetData sheetId="248">
        <row r="2">
          <cell r="F2">
            <v>620214</v>
          </cell>
        </row>
      </sheetData>
      <sheetData sheetId="249">
        <row r="2">
          <cell r="F2">
            <v>789686.52999999991</v>
          </cell>
        </row>
      </sheetData>
      <sheetData sheetId="250">
        <row r="2">
          <cell r="F2">
            <v>0</v>
          </cell>
        </row>
      </sheetData>
      <sheetData sheetId="251">
        <row r="2">
          <cell r="F2">
            <v>0</v>
          </cell>
        </row>
      </sheetData>
      <sheetData sheetId="252">
        <row r="2">
          <cell r="F2">
            <v>0</v>
          </cell>
        </row>
      </sheetData>
      <sheetData sheetId="253">
        <row r="2">
          <cell r="F2">
            <v>0</v>
          </cell>
        </row>
      </sheetData>
      <sheetData sheetId="254">
        <row r="2">
          <cell r="F2">
            <v>0</v>
          </cell>
        </row>
      </sheetData>
      <sheetData sheetId="255">
        <row r="2">
          <cell r="F2">
            <v>0</v>
          </cell>
        </row>
      </sheetData>
      <sheetData sheetId="256">
        <row r="2">
          <cell r="F2">
            <v>0</v>
          </cell>
        </row>
      </sheetData>
      <sheetData sheetId="257"/>
      <sheetData sheetId="258"/>
      <sheetData sheetId="259"/>
      <sheetData sheetId="260"/>
      <sheetData sheetId="26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1D04-77D6-4A15-82D3-B0E82CE19A38}">
  <dimension ref="B1:I1014"/>
  <sheetViews>
    <sheetView tabSelected="1" topLeftCell="A22" zoomScaleNormal="100" workbookViewId="0">
      <selection activeCell="E23" sqref="E23"/>
    </sheetView>
  </sheetViews>
  <sheetFormatPr defaultColWidth="14.453125" defaultRowHeight="15" customHeight="1"/>
  <cols>
    <col min="1" max="1" width="8.7265625" customWidth="1"/>
    <col min="2" max="2" width="47.26953125" customWidth="1"/>
    <col min="3" max="3" width="13.26953125" customWidth="1"/>
    <col min="4" max="4" width="12" bestFit="1" customWidth="1"/>
    <col min="5" max="5" width="38.54296875" customWidth="1"/>
    <col min="6" max="6" width="12.7265625" customWidth="1"/>
    <col min="7" max="7" width="10.54296875" customWidth="1"/>
    <col min="8" max="8" width="19.08984375" customWidth="1"/>
    <col min="9" max="9" width="14.81640625" customWidth="1"/>
    <col min="10" max="26" width="8.7265625" customWidth="1"/>
  </cols>
  <sheetData>
    <row r="1" spans="2:6" ht="32.25" customHeight="1">
      <c r="B1" s="1" t="s">
        <v>0</v>
      </c>
      <c r="C1" s="2"/>
      <c r="D1" s="2"/>
      <c r="E1" s="2"/>
      <c r="F1" s="3"/>
    </row>
    <row r="2" spans="2:6" ht="22.5" customHeight="1">
      <c r="B2" s="4"/>
      <c r="C2" s="5" t="s">
        <v>1</v>
      </c>
      <c r="D2" s="4"/>
      <c r="E2" s="4"/>
      <c r="F2" s="5" t="s">
        <v>2</v>
      </c>
    </row>
    <row r="3" spans="2:6" ht="14.25" customHeight="1">
      <c r="B3" s="6" t="s">
        <v>3</v>
      </c>
      <c r="C3" s="7"/>
      <c r="D3" s="4"/>
      <c r="E3" s="8" t="s">
        <v>4</v>
      </c>
      <c r="F3" s="9">
        <f>'[1]SHAAD CAPITAL'!F2</f>
        <v>128065176</v>
      </c>
    </row>
    <row r="4" spans="2:6" ht="14.25" customHeight="1">
      <c r="B4" s="10" t="s">
        <v>3</v>
      </c>
      <c r="C4" s="11">
        <f>'[1]FIXED ASSETS'!F2</f>
        <v>2216124</v>
      </c>
      <c r="D4" s="4"/>
      <c r="E4" s="12" t="s">
        <v>5</v>
      </c>
      <c r="F4" s="9">
        <f>'[1] SAIM &amp; SAMEER CAPITAL'!F2</f>
        <v>14078409.4</v>
      </c>
    </row>
    <row r="5" spans="2:6" ht="14.25" customHeight="1">
      <c r="B5" s="13" t="s">
        <v>6</v>
      </c>
      <c r="C5" s="14">
        <f>'[1]IVAR BUKHARI OUTLET'!F2</f>
        <v>6847492.6600000001</v>
      </c>
      <c r="D5" s="4"/>
      <c r="E5" s="8" t="s">
        <v>7</v>
      </c>
      <c r="F5" s="9">
        <f>'[1]REHMAN CAPITAL'!F2</f>
        <v>3673426.2</v>
      </c>
    </row>
    <row r="6" spans="2:6" ht="14.25" customHeight="1">
      <c r="B6" s="15" t="s">
        <v>8</v>
      </c>
      <c r="C6" s="11">
        <f>'[1]PLOT NO A-488 FIXED ASSETS'!F2</f>
        <v>7794070.6600000001</v>
      </c>
      <c r="D6" s="4"/>
      <c r="E6" s="8" t="s">
        <v>9</v>
      </c>
      <c r="F6" s="9">
        <f>'[1]MAAZ CAPITAL'!F2</f>
        <v>4391731.666666667</v>
      </c>
    </row>
    <row r="7" spans="2:6" ht="14.25" customHeight="1">
      <c r="B7" s="16" t="s">
        <v>10</v>
      </c>
      <c r="C7" s="11">
        <f>'[1]SECURITY DEPO PLOT NO A-488'!F2</f>
        <v>690000</v>
      </c>
      <c r="D7" s="4"/>
      <c r="E7" s="8" t="s">
        <v>11</v>
      </c>
      <c r="F7" s="9">
        <f>'[1]YAFEEZ CAPITAL'!F2</f>
        <v>4391731.666666667</v>
      </c>
    </row>
    <row r="8" spans="2:6" ht="14.25" customHeight="1">
      <c r="B8" s="16" t="s">
        <v>12</v>
      </c>
      <c r="C8" s="11">
        <f>'[1]SECURITY DEPO LAHORE OUTLET'!F2</f>
        <v>855000</v>
      </c>
      <c r="D8" s="4"/>
      <c r="E8" s="8" t="s">
        <v>13</v>
      </c>
      <c r="F8" s="9">
        <f>'[1]HANZALA CAPITAL'!F2</f>
        <v>4391731.666666667</v>
      </c>
    </row>
    <row r="9" spans="2:6" ht="14.25" customHeight="1">
      <c r="B9" s="16" t="s">
        <v>14</v>
      </c>
      <c r="C9" s="11">
        <f>'[1]METAL ASSETS'!F2</f>
        <v>4465719</v>
      </c>
      <c r="D9" s="4"/>
      <c r="E9" s="6" t="s">
        <v>15</v>
      </c>
      <c r="F9" s="17">
        <f>SUM(F3:F8)</f>
        <v>158992206.59999996</v>
      </c>
    </row>
    <row r="10" spans="2:6" ht="14.25" customHeight="1">
      <c r="B10" s="16" t="s">
        <v>16</v>
      </c>
      <c r="C10" s="11">
        <f>'[1]ISLAMABAD  OUTLET'!F2</f>
        <v>15783156</v>
      </c>
      <c r="D10" s="4"/>
      <c r="E10" s="6"/>
      <c r="F10" s="18"/>
    </row>
    <row r="11" spans="2:6" ht="14.25" customHeight="1">
      <c r="B11" s="16" t="s">
        <v>17</v>
      </c>
      <c r="C11" s="11">
        <f>'[1]LAHORE OUTLET'!F2</f>
        <v>10055755.66</v>
      </c>
      <c r="D11" s="4"/>
      <c r="E11" s="6" t="s">
        <v>18</v>
      </c>
      <c r="F11" s="4"/>
    </row>
    <row r="12" spans="2:6" ht="14.25" customHeight="1">
      <c r="B12" s="16" t="s">
        <v>19</v>
      </c>
      <c r="C12" s="11">
        <f>'[1]IVAR STORE SHARFABAD'!F2</f>
        <v>24742589</v>
      </c>
      <c r="D12" s="4"/>
      <c r="E12" s="8" t="s">
        <v>20</v>
      </c>
      <c r="F12" s="9">
        <f>'[1]SALE (ABHI PAY)'!F2</f>
        <v>0</v>
      </c>
    </row>
    <row r="13" spans="2:6" ht="14.25" customHeight="1">
      <c r="B13" s="16" t="s">
        <v>21</v>
      </c>
      <c r="C13" s="11">
        <f>'[1]TELECOM SECURITY DEPOSIT'!F2</f>
        <v>15250</v>
      </c>
      <c r="D13" s="4"/>
      <c r="E13" s="8" t="s">
        <v>22</v>
      </c>
      <c r="F13" s="9">
        <f>'[1]TCS SALES'!F2</f>
        <v>0</v>
      </c>
    </row>
    <row r="14" spans="2:6" ht="14.25" customHeight="1">
      <c r="B14" s="19" t="s">
        <v>23</v>
      </c>
      <c r="C14" s="11">
        <f>'[1]ADVERTISING CREDIT'!F2</f>
        <v>272503.30305000005</v>
      </c>
      <c r="D14" s="4"/>
      <c r="E14" s="8" t="s">
        <v>24</v>
      </c>
      <c r="F14" s="9">
        <f>'[1]PETTY BUYERS SALES'!F2</f>
        <v>0</v>
      </c>
    </row>
    <row r="15" spans="2:6" ht="14.25" customHeight="1">
      <c r="B15" s="19" t="s">
        <v>25</v>
      </c>
      <c r="C15" s="11">
        <f>'[1]IVAR FAISALABAD SHOP'!F2</f>
        <v>250000</v>
      </c>
      <c r="D15" s="4"/>
      <c r="E15" s="8" t="s">
        <v>26</v>
      </c>
      <c r="F15" s="9">
        <f>'[1]LAAM SALE'!F2</f>
        <v>0</v>
      </c>
    </row>
    <row r="16" spans="2:6" ht="14.25" customHeight="1">
      <c r="B16" s="19" t="s">
        <v>27</v>
      </c>
      <c r="C16" s="11">
        <f>'[1]USD ASSETS'!F2</f>
        <v>1425000</v>
      </c>
      <c r="D16" s="4"/>
      <c r="E16" s="8" t="s">
        <v>28</v>
      </c>
      <c r="F16" s="9">
        <f>'[1]POST EX SALES'!F2</f>
        <v>0</v>
      </c>
    </row>
    <row r="17" spans="2:6" ht="14.25" customHeight="1">
      <c r="B17" s="16"/>
      <c r="C17" s="11"/>
      <c r="D17" s="4"/>
      <c r="E17" s="20" t="s">
        <v>29</v>
      </c>
      <c r="F17" s="9">
        <f>'[1]  GIFT &amp; SAMPLE &amp; INFLUENCER SA'!F2</f>
        <v>0</v>
      </c>
    </row>
    <row r="18" spans="2:6" ht="14.25" customHeight="1">
      <c r="B18" s="16"/>
      <c r="C18" s="11"/>
      <c r="D18" s="4"/>
      <c r="E18" s="8" t="s">
        <v>30</v>
      </c>
      <c r="F18" s="9">
        <f>'[1]COURIER NEXT SALES'!F2</f>
        <v>0</v>
      </c>
    </row>
    <row r="19" spans="2:6" ht="14.25" customHeight="1">
      <c r="B19" s="21" t="s">
        <v>31</v>
      </c>
      <c r="C19" s="17">
        <f>SUM(C4:C18)</f>
        <v>75412660.283050001</v>
      </c>
      <c r="D19" s="4"/>
      <c r="E19" s="8" t="s">
        <v>32</v>
      </c>
      <c r="F19" s="9">
        <f>'[1]BLUE EX SALE'!F2</f>
        <v>0</v>
      </c>
    </row>
    <row r="20" spans="2:6" ht="14.25" customHeight="1">
      <c r="B20" s="21"/>
      <c r="C20" s="18"/>
      <c r="D20" s="4"/>
      <c r="E20" s="8" t="s">
        <v>33</v>
      </c>
      <c r="F20" s="9">
        <f>'[1]KARACHI ONLINE SALE'!F2</f>
        <v>0</v>
      </c>
    </row>
    <row r="21" spans="2:6" ht="14.25" customHeight="1">
      <c r="B21" s="8" t="s">
        <v>34</v>
      </c>
      <c r="C21" s="17">
        <f>'[1]CASH AT LOCKER'!F2</f>
        <v>0</v>
      </c>
      <c r="D21" s="4"/>
      <c r="E21" s="8" t="s">
        <v>35</v>
      </c>
      <c r="F21" s="9">
        <f>'[1]DISPUTE PARCEL CS'!F2</f>
        <v>0</v>
      </c>
    </row>
    <row r="22" spans="2:6" ht="14.25" customHeight="1">
      <c r="B22" s="8"/>
      <c r="C22" s="18"/>
      <c r="D22" s="4"/>
      <c r="E22" s="8" t="s">
        <v>36</v>
      </c>
      <c r="F22" s="9">
        <f>'[1]OFFLINE SALE'!F2</f>
        <v>0</v>
      </c>
    </row>
    <row r="23" spans="2:6" ht="14.25" customHeight="1">
      <c r="B23" s="16" t="s">
        <v>37</v>
      </c>
      <c r="C23" s="22">
        <f>'[1]CASH AT HOME'!F2</f>
        <v>0</v>
      </c>
      <c r="D23" s="4"/>
      <c r="E23" s="8" t="s">
        <v>38</v>
      </c>
      <c r="F23" s="9">
        <f>'[1]IVAR BUKHARI SHOP SALE'!F2</f>
        <v>0</v>
      </c>
    </row>
    <row r="24" spans="2:6" ht="14.25" customHeight="1">
      <c r="B24" s="21"/>
      <c r="C24" s="18"/>
      <c r="D24" s="4"/>
      <c r="E24" s="8" t="s">
        <v>39</v>
      </c>
      <c r="F24" s="9">
        <f>'[1]  IVAR LAHORE SHOP SALE'!F2</f>
        <v>0</v>
      </c>
    </row>
    <row r="25" spans="2:6" ht="14.25" customHeight="1">
      <c r="B25" s="6" t="s">
        <v>40</v>
      </c>
      <c r="C25" s="4"/>
      <c r="D25" s="4"/>
      <c r="E25" s="8" t="s">
        <v>41</v>
      </c>
      <c r="F25" s="9">
        <f>'[1]SALE (BAAD MAY)'!F2</f>
        <v>0</v>
      </c>
    </row>
    <row r="26" spans="2:6" ht="14.25" customHeight="1">
      <c r="B26" s="16" t="s">
        <v>42</v>
      </c>
      <c r="C26" s="11">
        <f>'[1]SALE RETURN'!F2</f>
        <v>0</v>
      </c>
      <c r="D26" s="4"/>
      <c r="E26" s="8" t="s">
        <v>43</v>
      </c>
      <c r="F26" s="9">
        <f>'[1]IVAR ISLAMABAD SHOP SALE'!F2</f>
        <v>0</v>
      </c>
    </row>
    <row r="27" spans="2:6" ht="14.25" customHeight="1">
      <c r="B27" s="16" t="s">
        <v>44</v>
      </c>
      <c r="C27" s="11">
        <f>'[1]SALE RETURN POST EX'!F2</f>
        <v>0</v>
      </c>
      <c r="D27" s="4"/>
      <c r="E27" s="8" t="s">
        <v>45</v>
      </c>
      <c r="F27" s="9">
        <f>'[1]IVAR SHARFABAD SHOP SALE'!F2</f>
        <v>0</v>
      </c>
    </row>
    <row r="28" spans="2:6" ht="14.25" customHeight="1">
      <c r="B28" s="16" t="s">
        <v>46</v>
      </c>
      <c r="C28" s="11">
        <f>'[1]COURIER NEXT SALE RETURN'!F2</f>
        <v>0</v>
      </c>
      <c r="D28" s="4"/>
      <c r="E28" s="8"/>
      <c r="F28" s="9"/>
    </row>
    <row r="29" spans="2:6" ht="14.25" customHeight="1">
      <c r="B29" s="16" t="s">
        <v>47</v>
      </c>
      <c r="C29" s="9">
        <f>'[1]IVAR BUKHARI SHOP RETURN'!F2</f>
        <v>0</v>
      </c>
      <c r="D29" s="4"/>
      <c r="E29" s="21" t="s">
        <v>48</v>
      </c>
      <c r="F29" s="17">
        <f>SUM(F12:F28)</f>
        <v>0</v>
      </c>
    </row>
    <row r="30" spans="2:6" ht="14.25" customHeight="1">
      <c r="B30" s="16" t="s">
        <v>49</v>
      </c>
      <c r="C30" s="9">
        <f>'[1]ONLINE CSTMR SHOP REFUND'!F2</f>
        <v>0</v>
      </c>
      <c r="D30" s="4"/>
      <c r="E30" s="9"/>
      <c r="F30" s="9"/>
    </row>
    <row r="31" spans="2:6" ht="14.25" customHeight="1">
      <c r="B31" s="16" t="s">
        <v>50</v>
      </c>
      <c r="C31" s="9">
        <f>'[1]NICE SUPER MART SALE RETURN'!F2</f>
        <v>0</v>
      </c>
      <c r="D31" s="4"/>
      <c r="E31" s="21" t="s">
        <v>51</v>
      </c>
      <c r="F31" s="9"/>
    </row>
    <row r="32" spans="2:6" ht="14.25" customHeight="1">
      <c r="B32" s="16" t="s">
        <v>52</v>
      </c>
      <c r="C32" s="9">
        <f>'[1]    IVAR LAHORE SHOP REFUND'!F2</f>
        <v>0</v>
      </c>
      <c r="D32" s="4"/>
      <c r="E32" s="20" t="s">
        <v>53</v>
      </c>
      <c r="F32" s="9">
        <f>'[1]PURCHASE RETURN'!F2</f>
        <v>0</v>
      </c>
    </row>
    <row r="33" spans="2:9" ht="14.25" customHeight="1">
      <c r="B33" s="16" t="s">
        <v>54</v>
      </c>
      <c r="C33" s="9">
        <f>'[1]SALE RETURN BLUE EX'!F2</f>
        <v>0</v>
      </c>
      <c r="D33" s="4"/>
      <c r="E33" s="21" t="s">
        <v>55</v>
      </c>
      <c r="F33" s="17">
        <f>SUM(F32)</f>
        <v>0</v>
      </c>
    </row>
    <row r="34" spans="2:9" ht="14.25" customHeight="1">
      <c r="B34" s="16" t="s">
        <v>56</v>
      </c>
      <c r="C34" s="9">
        <f>'[1]IVAR ISLAMABAD SHOP REFUND'!F2</f>
        <v>0</v>
      </c>
      <c r="D34" s="4"/>
      <c r="E34" s="9"/>
      <c r="F34" s="9"/>
    </row>
    <row r="35" spans="2:9" ht="14.25" customHeight="1">
      <c r="B35" s="16" t="s">
        <v>57</v>
      </c>
      <c r="C35" s="9">
        <f>'[1]IVAR SHARFABAD SHOP REFUND'!F2</f>
        <v>0</v>
      </c>
      <c r="D35" s="4"/>
      <c r="E35" s="6" t="s">
        <v>58</v>
      </c>
      <c r="F35" s="18"/>
    </row>
    <row r="36" spans="2:9" ht="14.25" customHeight="1">
      <c r="B36" s="16"/>
      <c r="C36" s="9"/>
      <c r="D36" s="4"/>
      <c r="E36" s="16"/>
      <c r="F36" s="18"/>
    </row>
    <row r="37" spans="2:9" ht="14.25" customHeight="1">
      <c r="B37" s="21" t="s">
        <v>59</v>
      </c>
      <c r="C37" s="17">
        <f>SUM(C26:C36)</f>
        <v>0</v>
      </c>
      <c r="D37" s="4"/>
      <c r="E37" s="16" t="s">
        <v>60</v>
      </c>
      <c r="F37" s="23">
        <f>'[1]JUNAID SHAIKH ACCESSORIES PAYEB'!F2</f>
        <v>139542</v>
      </c>
      <c r="H37" s="24"/>
      <c r="I37" s="24"/>
    </row>
    <row r="38" spans="2:9" ht="14.25" customHeight="1">
      <c r="B38" s="9"/>
      <c r="C38" s="9"/>
      <c r="D38" s="4"/>
      <c r="E38" s="16" t="s">
        <v>61</v>
      </c>
      <c r="F38" s="23">
        <f>'[1] HAFIZ PRINTERS PAYBLE'!F2</f>
        <v>0</v>
      </c>
    </row>
    <row r="39" spans="2:9" ht="14.25" customHeight="1">
      <c r="B39" s="21" t="s">
        <v>62</v>
      </c>
      <c r="C39" s="9"/>
      <c r="D39" s="4"/>
      <c r="E39" s="16" t="s">
        <v>63</v>
      </c>
      <c r="F39" s="23">
        <f>'[1]SHAHEER PRINTING PAYBLE'!F2</f>
        <v>2092196</v>
      </c>
      <c r="H39" s="24"/>
      <c r="I39" s="24"/>
    </row>
    <row r="40" spans="2:9" ht="14.25" customHeight="1">
      <c r="B40" s="8" t="s">
        <v>64</v>
      </c>
      <c r="C40" s="9">
        <f>'[1]ACCESSORIES PURCHASED'!F2</f>
        <v>0</v>
      </c>
      <c r="D40" s="4"/>
      <c r="E40" s="16" t="s">
        <v>65</v>
      </c>
      <c r="F40" s="23">
        <f>'[1]ALLIED CMT PAYBLE'!F2</f>
        <v>733</v>
      </c>
      <c r="H40" s="24"/>
      <c r="I40" s="24"/>
    </row>
    <row r="41" spans="2:9" ht="14.25" customHeight="1">
      <c r="B41" s="8" t="s">
        <v>66</v>
      </c>
      <c r="C41" s="9">
        <f>'[1]T-SHIRT PURCHASED'!F2</f>
        <v>0</v>
      </c>
      <c r="D41" s="4"/>
      <c r="E41" s="16" t="s">
        <v>67</v>
      </c>
      <c r="F41" s="23">
        <f>'[1]MR.VALI ENTERPRIZE PAYBLE'!F2</f>
        <v>317489</v>
      </c>
      <c r="H41" s="24"/>
      <c r="I41" s="24"/>
    </row>
    <row r="42" spans="2:9" ht="14.25" customHeight="1">
      <c r="B42" s="8" t="s">
        <v>68</v>
      </c>
      <c r="C42" s="9">
        <f>'[1]PURCHASE MISC '!F2</f>
        <v>0</v>
      </c>
      <c r="D42" s="4"/>
      <c r="E42" s="16" t="s">
        <v>69</v>
      </c>
      <c r="F42" s="23">
        <f>'[1]M.ISRAR ENTERPRISE PAYBLE'!F2</f>
        <v>0</v>
      </c>
    </row>
    <row r="43" spans="2:9" ht="14.25" customHeight="1">
      <c r="B43" s="8" t="s">
        <v>70</v>
      </c>
      <c r="C43" s="11">
        <f>'[1]U.G PURCHASE'!F2</f>
        <v>0</v>
      </c>
      <c r="D43" s="4"/>
      <c r="E43" s="16" t="s">
        <v>71</v>
      </c>
      <c r="F43" s="23">
        <f>'[1]ABDUL MUGHNI CMT PAYBLE'!F2</f>
        <v>3352640</v>
      </c>
      <c r="H43" s="24"/>
    </row>
    <row r="44" spans="2:9" ht="14.25" customHeight="1">
      <c r="B44" s="8" t="s">
        <v>72</v>
      </c>
      <c r="C44" s="11">
        <f>'[1]CMT PURCHASE'!F2</f>
        <v>0</v>
      </c>
      <c r="D44" s="4"/>
      <c r="E44" s="16" t="s">
        <v>73</v>
      </c>
      <c r="F44" s="23">
        <f>'[1]AHST APPAREL PAYBLE'!F2</f>
        <v>0</v>
      </c>
    </row>
    <row r="45" spans="2:9" ht="14.25" customHeight="1">
      <c r="B45" s="8" t="s">
        <v>74</v>
      </c>
      <c r="C45" s="11">
        <f>'[1]PAJAMA PURCHASE'!F2</f>
        <v>0</v>
      </c>
      <c r="D45" s="4"/>
      <c r="E45" s="16" t="s">
        <v>75</v>
      </c>
      <c r="F45" s="23">
        <f>'[1]ALAM APPAREL PAYBLE'!F2</f>
        <v>1357923</v>
      </c>
      <c r="H45" s="24"/>
    </row>
    <row r="46" spans="2:9" ht="14.25" customHeight="1">
      <c r="B46" s="8" t="s">
        <v>76</v>
      </c>
      <c r="C46" s="11">
        <f>'[1]FABRIC PURCHASED'!F2</f>
        <v>0</v>
      </c>
      <c r="D46" s="4"/>
      <c r="E46" s="16" t="s">
        <v>77</v>
      </c>
      <c r="F46" s="23">
        <f>'[1]CLAIM REMAINING BALANCE'!F2</f>
        <v>-21918</v>
      </c>
    </row>
    <row r="47" spans="2:9" ht="14.25" customHeight="1">
      <c r="B47" s="8" t="s">
        <v>78</v>
      </c>
      <c r="C47" s="9">
        <f>'[1]GARMENTS PURCHASE'!F2</f>
        <v>0</v>
      </c>
      <c r="D47" s="4"/>
      <c r="E47" s="16" t="s">
        <v>79</v>
      </c>
      <c r="F47" s="23">
        <f>'[1]ASTORE BAGS PAYBLE'!F2</f>
        <v>360</v>
      </c>
    </row>
    <row r="48" spans="2:9" ht="14.25" customHeight="1">
      <c r="B48" s="8" t="s">
        <v>80</v>
      </c>
      <c r="C48" s="9">
        <f>'[1]BAGS PURCHASE'!F2</f>
        <v>0</v>
      </c>
      <c r="D48" s="4"/>
      <c r="E48" s="16" t="s">
        <v>81</v>
      </c>
      <c r="F48" s="23">
        <f>'[1]TODAY GARMENTS PAYBLE'!F2</f>
        <v>0</v>
      </c>
    </row>
    <row r="49" spans="2:9" ht="14.25" customHeight="1">
      <c r="B49" s="8" t="s">
        <v>82</v>
      </c>
      <c r="C49" s="9">
        <f>'[1]SHOES PURCHASE'!F2</f>
        <v>0</v>
      </c>
      <c r="D49" s="25"/>
      <c r="E49" s="16" t="s">
        <v>83</v>
      </c>
      <c r="F49" s="23">
        <f>'[1]CONCEPT PACKAGES PAYABLE'!F2</f>
        <v>253124</v>
      </c>
      <c r="H49" s="24"/>
    </row>
    <row r="50" spans="2:9" ht="14.25" customHeight="1">
      <c r="B50" s="8" t="s">
        <v>84</v>
      </c>
      <c r="C50" s="9">
        <f>'[1]FRAGNANCE PURCHASE'!F2</f>
        <v>0</v>
      </c>
      <c r="D50" s="4"/>
      <c r="E50" s="16" t="s">
        <v>85</v>
      </c>
      <c r="F50" s="23">
        <f>'[1]FINE TAIRE FABRIC'!F2</f>
        <v>0</v>
      </c>
    </row>
    <row r="51" spans="2:9" ht="14.25" customHeight="1">
      <c r="B51" s="26" t="s">
        <v>86</v>
      </c>
      <c r="C51" s="9">
        <f>'[1]DYING PURCHASED'!F2</f>
        <v>0</v>
      </c>
      <c r="D51" s="25"/>
      <c r="E51" s="16" t="s">
        <v>87</v>
      </c>
      <c r="F51" s="23">
        <f>'[1]  RIZWAN DENIM FABRIC PAYBLE'!F2</f>
        <v>120699</v>
      </c>
      <c r="H51" s="24"/>
      <c r="I51" s="24"/>
    </row>
    <row r="52" spans="2:9" ht="14.25" customHeight="1">
      <c r="B52" s="8"/>
      <c r="C52" s="9"/>
      <c r="D52" s="4"/>
      <c r="E52" s="16" t="s">
        <v>88</v>
      </c>
      <c r="F52" s="23">
        <f>'[1]1 STITCH SOLUTIONS PAYBLE'!F2</f>
        <v>124180</v>
      </c>
      <c r="H52" s="24"/>
    </row>
    <row r="53" spans="2:9" ht="14.25" customHeight="1">
      <c r="B53" s="21" t="s">
        <v>89</v>
      </c>
      <c r="C53" s="17">
        <f>SUM(C40:C52)</f>
        <v>0</v>
      </c>
      <c r="D53" s="4"/>
      <c r="E53" s="16" t="s">
        <v>90</v>
      </c>
      <c r="F53" s="23">
        <f>'[1]ALLIED FABRIC PURCHASE ON CASH'!F2</f>
        <v>-321920</v>
      </c>
    </row>
    <row r="54" spans="2:9" ht="14.25" customHeight="1">
      <c r="B54" s="9"/>
      <c r="C54" s="9"/>
      <c r="D54" s="4"/>
      <c r="E54" s="16" t="s">
        <v>91</v>
      </c>
      <c r="F54" s="23">
        <f>'[1]FATEH INDUSTRIES PAYBLE'!F2</f>
        <v>3282054</v>
      </c>
      <c r="H54" s="24"/>
    </row>
    <row r="55" spans="2:9" ht="14.25" customHeight="1">
      <c r="B55" s="21" t="s">
        <v>92</v>
      </c>
      <c r="C55" s="11"/>
      <c r="D55" s="4"/>
      <c r="E55" s="16" t="s">
        <v>93</v>
      </c>
      <c r="F55" s="23">
        <f>'[1]S.K.F POLYTEX'!F2</f>
        <v>28210</v>
      </c>
      <c r="H55" s="24"/>
    </row>
    <row r="56" spans="2:9" ht="14.25" customHeight="1">
      <c r="B56" s="16" t="s">
        <v>94</v>
      </c>
      <c r="C56" s="11">
        <f>'[1]SHAAD RCVBL'!F2</f>
        <v>8387236</v>
      </c>
      <c r="D56" s="4"/>
      <c r="E56" s="16" t="s">
        <v>95</v>
      </c>
      <c r="F56" s="23">
        <f>'[1]SHAAD FABRIC PAYBLE'!F2</f>
        <v>0</v>
      </c>
    </row>
    <row r="57" spans="2:9" ht="14.25" customHeight="1">
      <c r="B57" s="16" t="s">
        <v>96</v>
      </c>
      <c r="C57" s="11">
        <f>'[1]PETTY BUYER RCVBL'!F2</f>
        <v>124693</v>
      </c>
      <c r="D57" s="4"/>
      <c r="E57" s="16" t="s">
        <v>97</v>
      </c>
      <c r="F57" s="23">
        <f>'[1]AL MAKKAH FABRICS CASH'!F2</f>
        <v>-4904</v>
      </c>
      <c r="H57" s="24"/>
    </row>
    <row r="58" spans="2:9" ht="14.25" customHeight="1">
      <c r="B58" s="16" t="s">
        <v>98</v>
      </c>
      <c r="C58" s="11">
        <f>'[1]  LAAM RCVBL'!F2</f>
        <v>172366.45</v>
      </c>
      <c r="D58" s="4"/>
      <c r="E58" s="16" t="s">
        <v>99</v>
      </c>
      <c r="F58" s="23">
        <f>'[1]BADAMI SUITING CASH'!F2</f>
        <v>2495407</v>
      </c>
      <c r="H58" s="24"/>
    </row>
    <row r="59" spans="2:9" ht="14.25" customHeight="1">
      <c r="B59" s="16" t="s">
        <v>100</v>
      </c>
      <c r="C59" s="11">
        <f>'[1]TCS REVBL'!F2</f>
        <v>6760</v>
      </c>
      <c r="D59" s="4"/>
      <c r="E59" s="16" t="s">
        <v>101</v>
      </c>
      <c r="F59" s="23">
        <f>'[1]USMANI GARMENTS PAYBLE'!F2</f>
        <v>1667384</v>
      </c>
      <c r="H59" s="24"/>
    </row>
    <row r="60" spans="2:9" ht="14.25" customHeight="1">
      <c r="B60" s="16" t="s">
        <v>102</v>
      </c>
      <c r="C60" s="11">
        <f>'[1]POST EX RCVBL'!F2</f>
        <v>7797394.819999963</v>
      </c>
      <c r="D60" s="4"/>
      <c r="E60" s="16" t="s">
        <v>103</v>
      </c>
      <c r="F60" s="23">
        <f>'[1]KHALIL FABRICS CASH'!F2</f>
        <v>0</v>
      </c>
    </row>
    <row r="61" spans="2:9" ht="14.25" customHeight="1">
      <c r="B61" s="16" t="s">
        <v>104</v>
      </c>
      <c r="C61" s="11">
        <f>'[1]COURIER NEXT RCVBLE'!F2</f>
        <v>2477502.4499999806</v>
      </c>
      <c r="D61" s="4"/>
      <c r="E61" s="16" t="s">
        <v>105</v>
      </c>
      <c r="F61" s="23">
        <f>'[1]FANSIA FRAGNANCE PAYBLE'!F2</f>
        <v>0</v>
      </c>
      <c r="H61" s="24"/>
    </row>
    <row r="62" spans="2:9" ht="14.25" customHeight="1">
      <c r="B62" s="16" t="s">
        <v>106</v>
      </c>
      <c r="C62" s="11">
        <f>'[1]BLUE EX RCVBLE'!F2</f>
        <v>5699</v>
      </c>
      <c r="D62" s="4"/>
      <c r="E62" s="16" t="s">
        <v>107</v>
      </c>
      <c r="F62" s="23">
        <f>'[1]OK TRADERS PAYBLE'!F2</f>
        <v>748</v>
      </c>
    </row>
    <row r="63" spans="2:9" ht="14.25" customHeight="1">
      <c r="B63" s="16" t="s">
        <v>108</v>
      </c>
      <c r="C63" s="11">
        <f>'[1]ABHI PAY SHAAD RCVBLE'!F2</f>
        <v>898836.11000001058</v>
      </c>
      <c r="D63" s="4"/>
      <c r="E63" s="16" t="s">
        <v>109</v>
      </c>
      <c r="F63" s="23">
        <f>'[1]RKM CORPRATION PAYBLE'!F2</f>
        <v>-5162420</v>
      </c>
      <c r="H63" s="24"/>
    </row>
    <row r="64" spans="2:9" ht="14.25" customHeight="1">
      <c r="B64" s="16" t="s">
        <v>110</v>
      </c>
      <c r="C64" s="11">
        <f>'[1]BAAD MAY RCVBLE'!F2</f>
        <v>302540.87999999803</v>
      </c>
      <c r="D64" s="4"/>
      <c r="E64" s="16" t="s">
        <v>111</v>
      </c>
      <c r="F64" s="23">
        <f>'[1]KEMTEX PAYBLE'!F2</f>
        <v>599200</v>
      </c>
      <c r="H64" s="24"/>
    </row>
    <row r="65" spans="2:9" ht="14.25" customHeight="1">
      <c r="B65" s="26" t="s">
        <v>112</v>
      </c>
      <c r="C65" s="23">
        <f>'[1]EASY PAYSA DISCOUNT WORLD RCVBL'!F2</f>
        <v>0</v>
      </c>
      <c r="D65" s="4"/>
      <c r="E65" s="16" t="s">
        <v>113</v>
      </c>
      <c r="F65" s="23">
        <f>'[1]KNITEX PAYBLE'!F2</f>
        <v>-1975000</v>
      </c>
      <c r="H65" s="24"/>
    </row>
    <row r="66" spans="2:9" ht="14.25" customHeight="1">
      <c r="B66" s="26" t="s">
        <v>114</v>
      </c>
      <c r="C66" s="23">
        <f>'[1]EASY PAYSA DIS WORLD RCVBLE FOR'!F2</f>
        <v>-151.45500000007451</v>
      </c>
      <c r="D66" s="4"/>
      <c r="E66" s="16" t="s">
        <v>115</v>
      </c>
      <c r="F66" s="23">
        <f>'[1]MOIZ YASIN FABRICATION PAYBLE'!F2</f>
        <v>13007145</v>
      </c>
      <c r="H66" s="24"/>
      <c r="I66" s="24"/>
    </row>
    <row r="67" spans="2:9" ht="14.25" customHeight="1">
      <c r="B67" s="6"/>
      <c r="C67" s="27"/>
      <c r="D67" s="4"/>
      <c r="E67" s="16" t="s">
        <v>116</v>
      </c>
      <c r="F67" s="23">
        <f>'[1]MUSTAFA CLOTH (NOWSHERA) PAYBLE'!F2</f>
        <v>416</v>
      </c>
    </row>
    <row r="68" spans="2:9" ht="14.25" customHeight="1">
      <c r="B68" s="6" t="s">
        <v>117</v>
      </c>
      <c r="C68" s="17">
        <f>SUM(C56:C67)</f>
        <v>20172877.254999951</v>
      </c>
      <c r="D68" s="4"/>
      <c r="E68" s="16" t="s">
        <v>118</v>
      </c>
      <c r="F68" s="23">
        <f>'[1]GUL AHMED TEXTILE MILLS PAYBLE'!F2</f>
        <v>4076015</v>
      </c>
      <c r="H68" s="24"/>
    </row>
    <row r="69" spans="2:9" ht="14.25" customHeight="1">
      <c r="B69" s="6"/>
      <c r="C69" s="18"/>
      <c r="D69" s="4"/>
      <c r="E69" s="16" t="s">
        <v>119</v>
      </c>
      <c r="F69" s="23">
        <f>'[1]MIMA INTERNATIONAL PAYBLE'!F2</f>
        <v>732520</v>
      </c>
      <c r="H69" s="24"/>
      <c r="I69" s="24"/>
    </row>
    <row r="70" spans="2:9" ht="14.25" customHeight="1">
      <c r="B70" s="6" t="s">
        <v>120</v>
      </c>
      <c r="C70" s="18"/>
      <c r="D70" s="4"/>
      <c r="E70" s="16" t="s">
        <v>121</v>
      </c>
      <c r="F70" s="23">
        <f>'[1]ARTISTIC PRINT HOUSE PAYBLE'!F2</f>
        <v>0</v>
      </c>
    </row>
    <row r="71" spans="2:9" ht="14.25" customHeight="1">
      <c r="B71" s="8" t="s">
        <v>122</v>
      </c>
      <c r="C71" s="11">
        <f>'[1]NAYAB FASHION MUZAFFARABAD'!F2</f>
        <v>1713</v>
      </c>
      <c r="D71" s="4"/>
      <c r="E71" s="16" t="s">
        <v>123</v>
      </c>
      <c r="F71" s="23">
        <f>'[1]ALAM APPERAL FABRIC PAYBLE'!F2</f>
        <v>199853</v>
      </c>
      <c r="H71" s="24"/>
    </row>
    <row r="72" spans="2:9" ht="14.25" customHeight="1">
      <c r="B72" s="8" t="s">
        <v>124</v>
      </c>
      <c r="C72" s="11">
        <f>'[1] NICE SUPER MART'!F2</f>
        <v>0</v>
      </c>
      <c r="D72" s="4"/>
      <c r="E72" s="20" t="s">
        <v>125</v>
      </c>
      <c r="F72" s="23">
        <f>'[1]AL AHAD FOOTWEAR'!F2</f>
        <v>-644000</v>
      </c>
      <c r="H72" s="24"/>
    </row>
    <row r="73" spans="2:9" ht="14.25" customHeight="1">
      <c r="B73" s="8" t="s">
        <v>126</v>
      </c>
      <c r="C73" s="11">
        <f>'[1]TESCO SUPER MART'!F2</f>
        <v>34850</v>
      </c>
      <c r="D73" s="4"/>
      <c r="E73" s="8" t="s">
        <v>127</v>
      </c>
      <c r="F73" s="23">
        <f>'[1]AKRAM CONTRACTOR LEDGER'!F2</f>
        <v>-404067</v>
      </c>
    </row>
    <row r="74" spans="2:9" ht="14.25" customHeight="1">
      <c r="B74" s="8" t="s">
        <v>128</v>
      </c>
      <c r="C74" s="11">
        <f>'[1]NEW WAY SUPER MART'!F2</f>
        <v>34850</v>
      </c>
      <c r="D74" s="4"/>
      <c r="E74" s="8" t="s">
        <v>129</v>
      </c>
      <c r="F74" s="23">
        <f>'[1]J.K ENTERPRISES BUTTON'!F2</f>
        <v>147000</v>
      </c>
    </row>
    <row r="75" spans="2:9" ht="14.25" customHeight="1">
      <c r="B75" s="8" t="s">
        <v>130</v>
      </c>
      <c r="C75" s="11">
        <f>'[1]IVAR BUKHARI SHOP DEBTORS'!F2</f>
        <v>58494.24172001332</v>
      </c>
      <c r="D75" s="4"/>
      <c r="E75" s="19" t="s">
        <v>131</v>
      </c>
      <c r="F75" s="11">
        <f>'[1]MINAHEEL ENTERPRISE'!F2</f>
        <v>0</v>
      </c>
    </row>
    <row r="76" spans="2:9" ht="14.25" customHeight="1">
      <c r="B76" s="8" t="s">
        <v>132</v>
      </c>
      <c r="C76" s="11">
        <f>'[1]  IVAR LAHORE SHOP DEBTORS'!F2</f>
        <v>313634.05249001086</v>
      </c>
      <c r="D76" s="4"/>
      <c r="E76" s="19" t="s">
        <v>133</v>
      </c>
      <c r="F76" s="11">
        <f>'[1]MISAAF ENERGY PVT LTD'!F2</f>
        <v>0</v>
      </c>
    </row>
    <row r="77" spans="2:9" ht="14.25" customHeight="1">
      <c r="B77" s="8" t="s">
        <v>134</v>
      </c>
      <c r="C77" s="11">
        <f>'[1]IVAR ISLAMABAD SHOP DEBTORS'!F2</f>
        <v>13284.855700001121</v>
      </c>
      <c r="D77" s="4"/>
      <c r="E77" s="19" t="s">
        <v>135</v>
      </c>
      <c r="F77" s="11">
        <f>'[1]NK APPAREL PAYBLE'!F2</f>
        <v>574660</v>
      </c>
    </row>
    <row r="78" spans="2:9" ht="14.25" customHeight="1">
      <c r="B78" s="8" t="s">
        <v>136</v>
      </c>
      <c r="C78" s="11">
        <f>'[1]IVAR SHARFABAD SHOP DEBTORS'!F2</f>
        <v>267768.18429999053</v>
      </c>
      <c r="D78" s="4"/>
      <c r="E78" s="19" t="s">
        <v>137</v>
      </c>
      <c r="F78" s="11">
        <f>'[1]HUMAIR GAGAI PAYBLE'!F2</f>
        <v>3147570</v>
      </c>
    </row>
    <row r="79" spans="2:9" ht="14.25" customHeight="1">
      <c r="B79" s="8"/>
      <c r="C79" s="11"/>
      <c r="D79" s="4"/>
      <c r="E79" s="19" t="s">
        <v>138</v>
      </c>
      <c r="F79" s="11">
        <f>'[1]WALEED FOOTWEAR PAYBLE'!F2</f>
        <v>473250</v>
      </c>
    </row>
    <row r="80" spans="2:9" ht="14.25" customHeight="1">
      <c r="B80" s="6" t="s">
        <v>139</v>
      </c>
      <c r="C80" s="17">
        <f>SUM(C71:C79)</f>
        <v>724594.33421001583</v>
      </c>
      <c r="D80" s="4"/>
      <c r="E80" s="19" t="s">
        <v>140</v>
      </c>
      <c r="F80" s="11">
        <f>'[1]A.M APPAREL PAYBLE'!F2</f>
        <v>704320</v>
      </c>
    </row>
    <row r="81" spans="2:6" ht="14.25" customHeight="1">
      <c r="B81" s="4"/>
      <c r="C81" s="18"/>
      <c r="D81" s="4"/>
      <c r="E81" s="19" t="s">
        <v>141</v>
      </c>
      <c r="F81" s="11">
        <f>'[1]MIMA INTERNATIONAL FABRIC PAYBL'!F2</f>
        <v>1500520</v>
      </c>
    </row>
    <row r="82" spans="2:6" ht="14.25" customHeight="1">
      <c r="B82" s="4"/>
      <c r="C82" s="18"/>
      <c r="D82" s="4"/>
      <c r="E82" s="19" t="s">
        <v>142</v>
      </c>
      <c r="F82" s="11">
        <f>'[1]TEZCO INDUSTRIES PAYBLE'!F2</f>
        <v>671600</v>
      </c>
    </row>
    <row r="83" spans="2:6" ht="14.25" customHeight="1">
      <c r="B83" s="6" t="s">
        <v>143</v>
      </c>
      <c r="C83" s="18"/>
      <c r="D83" s="4"/>
      <c r="E83" s="19" t="s">
        <v>144</v>
      </c>
      <c r="F83" s="11">
        <f>'[1]ALAM TEXTILE TRADING PAYBLE'!F2</f>
        <v>28500</v>
      </c>
    </row>
    <row r="84" spans="2:6" ht="14.25" customHeight="1">
      <c r="B84" s="8" t="s">
        <v>145</v>
      </c>
      <c r="C84" s="11">
        <f>'[1]MEEZAN AC 8231'!F2</f>
        <v>3214051.4561000057</v>
      </c>
      <c r="D84" s="4"/>
      <c r="E84" s="19" t="s">
        <v>146</v>
      </c>
      <c r="F84" s="11">
        <f>'[1]AHMED JAMAL TEXTILE MILLS'!F2</f>
        <v>680615</v>
      </c>
    </row>
    <row r="85" spans="2:6" ht="14.25" customHeight="1">
      <c r="B85" s="26" t="s">
        <v>147</v>
      </c>
      <c r="C85" s="23">
        <f>'[1]UBL ACC 7741'!F2</f>
        <v>620214</v>
      </c>
      <c r="D85" s="4"/>
      <c r="E85" s="16"/>
      <c r="F85" s="11"/>
    </row>
    <row r="86" spans="2:6" ht="14.25" customHeight="1">
      <c r="B86" s="26" t="s">
        <v>148</v>
      </c>
      <c r="C86" s="23">
        <f>'[1]BANK AL FALAH ACC 2985'!F2</f>
        <v>789686.52999999991</v>
      </c>
      <c r="D86" s="4"/>
      <c r="E86" s="16"/>
      <c r="F86" s="11"/>
    </row>
    <row r="87" spans="2:6" ht="14.25" customHeight="1">
      <c r="B87" s="6" t="s">
        <v>149</v>
      </c>
      <c r="C87" s="17">
        <f>SUM(C84:C86)</f>
        <v>4623951.9861000059</v>
      </c>
      <c r="D87" s="4"/>
      <c r="E87" s="21" t="s">
        <v>150</v>
      </c>
      <c r="F87" s="17">
        <f>SUM(F36:F86)</f>
        <v>33241644</v>
      </c>
    </row>
    <row r="88" spans="2:6" ht="14.25" customHeight="1">
      <c r="B88" s="28"/>
      <c r="C88" s="25"/>
      <c r="D88" s="4"/>
      <c r="E88" s="21"/>
      <c r="F88" s="21"/>
    </row>
    <row r="89" spans="2:6" ht="14.25" customHeight="1">
      <c r="B89" s="21" t="s">
        <v>151</v>
      </c>
      <c r="C89" s="9"/>
      <c r="D89" s="4"/>
      <c r="E89" s="6" t="s">
        <v>152</v>
      </c>
      <c r="F89" s="4"/>
    </row>
    <row r="90" spans="2:6" ht="14.25" customHeight="1">
      <c r="B90" s="8" t="s">
        <v>153</v>
      </c>
      <c r="C90" s="11">
        <f>'[1]TEMPORARY LOAN'!F2</f>
        <v>250380</v>
      </c>
      <c r="D90" s="4"/>
      <c r="E90" s="20" t="s">
        <v>154</v>
      </c>
      <c r="F90" s="9">
        <f>'[1]WAREHOUSE PROVISION DEPR ACC'!F2</f>
        <v>415570.4</v>
      </c>
    </row>
    <row r="91" spans="2:6" ht="14.25" customHeight="1">
      <c r="B91" s="8" t="s">
        <v>155</v>
      </c>
      <c r="C91" s="11">
        <f>'[1]SHAAD TEMPORARY LOAN'!F2</f>
        <v>0</v>
      </c>
      <c r="D91" s="4"/>
      <c r="E91" s="8" t="s">
        <v>156</v>
      </c>
      <c r="F91" s="9">
        <f>'[1]BUKHARI SHOP PROVISION DEPR ACC'!F2</f>
        <v>1228407.9600000002</v>
      </c>
    </row>
    <row r="92" spans="2:6" ht="14.25" customHeight="1">
      <c r="B92" s="8" t="s">
        <v>157</v>
      </c>
      <c r="C92" s="11">
        <f>'[1]SUSPENSE ACC'!F2</f>
        <v>5300</v>
      </c>
      <c r="D92" s="4"/>
      <c r="E92" s="8" t="s">
        <v>158</v>
      </c>
      <c r="F92" s="9">
        <f>'[1]PLOT NOA-488 PROVISON DEPR ACC'!F2</f>
        <v>566980.30999999994</v>
      </c>
    </row>
    <row r="93" spans="2:6" ht="14.25" customHeight="1">
      <c r="B93" s="8" t="s">
        <v>159</v>
      </c>
      <c r="C93" s="11">
        <f>'[1]POST EX CLAIM'!F2</f>
        <v>0</v>
      </c>
      <c r="D93" s="4"/>
      <c r="E93" s="8" t="s">
        <v>160</v>
      </c>
      <c r="F93" s="9">
        <f>'[1]ISB SHOP PROVISION DEPR ACC'!F2</f>
        <v>1220276.1399999999</v>
      </c>
    </row>
    <row r="94" spans="2:6" ht="14.25" customHeight="1">
      <c r="B94" s="8" t="s">
        <v>161</v>
      </c>
      <c r="C94" s="11">
        <f>'[1]COURIER NEXT CLAIM'!F2</f>
        <v>32070</v>
      </c>
      <c r="D94" s="4"/>
      <c r="E94" s="8" t="s">
        <v>162</v>
      </c>
      <c r="F94" s="9">
        <f>'[1]LAHORE SHOP PROVISION DEPR ACC'!F2</f>
        <v>815106.18</v>
      </c>
    </row>
    <row r="95" spans="2:6" ht="14.25" customHeight="1">
      <c r="B95" s="8" t="s">
        <v>163</v>
      </c>
      <c r="C95" s="11">
        <f>'[1]IVAR BUKHARI SHOP EXP (amanat)'!F2</f>
        <v>19890</v>
      </c>
      <c r="D95" s="4"/>
      <c r="E95" s="8" t="s">
        <v>164</v>
      </c>
      <c r="F95" s="9">
        <f>'[1]SHARFABAD SHOP PROVISION DEPRAC'!F2</f>
        <v>1174129.4099999999</v>
      </c>
    </row>
    <row r="96" spans="2:6" ht="14.25" customHeight="1">
      <c r="B96" s="8" t="s">
        <v>165</v>
      </c>
      <c r="C96" s="11">
        <f>'[1]TARIQ ELECTRICAIN (AMANAT)'!F2</f>
        <v>161</v>
      </c>
      <c r="D96" s="4"/>
      <c r="E96" s="6" t="s">
        <v>166</v>
      </c>
      <c r="F96" s="29">
        <f>SUM(F90:F95)</f>
        <v>5420470.4000000004</v>
      </c>
    </row>
    <row r="97" spans="2:9" ht="14.25" customHeight="1">
      <c r="B97" s="8" t="s">
        <v>167</v>
      </c>
      <c r="C97" s="11">
        <f>'[1]AHAD CARPAINTER (AMANAT)'!F2</f>
        <v>0</v>
      </c>
      <c r="D97" s="4"/>
      <c r="E97" s="4"/>
      <c r="F97" s="4"/>
    </row>
    <row r="98" spans="2:9" ht="14.25" customHeight="1">
      <c r="B98" s="8" t="s">
        <v>168</v>
      </c>
      <c r="C98" s="11">
        <f>'[1]KASHIF IVAR SHOP (AMANAT)'!F2</f>
        <v>0</v>
      </c>
      <c r="D98" s="4"/>
      <c r="E98" s="6" t="s">
        <v>169</v>
      </c>
      <c r="F98" s="4"/>
    </row>
    <row r="99" spans="2:9" ht="14.25" customHeight="1">
      <c r="B99" s="8" t="s">
        <v>170</v>
      </c>
      <c r="C99" s="11">
        <f>'[1]SAAD PETTY CASH (AMANAT)'!F2</f>
        <v>83219</v>
      </c>
      <c r="D99" s="4"/>
      <c r="E99" s="8" t="s">
        <v>171</v>
      </c>
      <c r="F99" s="9">
        <f>'[1]SILVER S P A C'!F2</f>
        <v>0</v>
      </c>
    </row>
    <row r="100" spans="2:9" ht="14.25" customHeight="1">
      <c r="B100" s="8" t="s">
        <v>172</v>
      </c>
      <c r="C100" s="11">
        <f>'[1]OSAMA AFZAL (LHR TOUR AMANAT)'!F2</f>
        <v>0</v>
      </c>
      <c r="D100" s="4"/>
      <c r="E100" s="8" t="s">
        <v>173</v>
      </c>
      <c r="F100" s="9">
        <f>'[1]GOLD S P A C'!F2</f>
        <v>0</v>
      </c>
    </row>
    <row r="101" spans="2:9" ht="14.25" customHeight="1">
      <c r="B101" s="8" t="s">
        <v>174</v>
      </c>
      <c r="C101" s="11">
        <f>'[1]IVAR LAHORE SHOP EXP (AMANAT)'!F2</f>
        <v>1856</v>
      </c>
      <c r="D101" s="4"/>
      <c r="E101" s="26" t="s">
        <v>175</v>
      </c>
      <c r="F101" s="23">
        <f>'[1]INCOME FORM FOREX MARKETING'!F2</f>
        <v>0</v>
      </c>
    </row>
    <row r="102" spans="2:9" ht="14.25" customHeight="1">
      <c r="B102" s="8" t="s">
        <v>176</v>
      </c>
      <c r="C102" s="11">
        <f>'[1]NAJEED SHAAD BROKER (AMANAT)'!F2</f>
        <v>0</v>
      </c>
      <c r="D102" s="4"/>
      <c r="E102" s="6" t="s">
        <v>177</v>
      </c>
      <c r="F102" s="22">
        <f>SUM(F99:F101)</f>
        <v>0</v>
      </c>
    </row>
    <row r="103" spans="2:9" ht="14.25" customHeight="1">
      <c r="B103" s="8" t="s">
        <v>178</v>
      </c>
      <c r="C103" s="11">
        <f>'[1]QASIM HEAD OF RETAIL (AMANAT)'!F2</f>
        <v>40000</v>
      </c>
      <c r="D103" s="4"/>
      <c r="E103" s="4"/>
      <c r="F103" s="4"/>
    </row>
    <row r="104" spans="2:9" ht="14.25" customHeight="1">
      <c r="B104" s="8" t="s">
        <v>179</v>
      </c>
      <c r="C104" s="11">
        <f>'[1]KASHAN (AMANAT)'!F2</f>
        <v>50000</v>
      </c>
      <c r="D104" s="4"/>
      <c r="E104" s="26" t="s">
        <v>180</v>
      </c>
      <c r="F104" s="30">
        <f>'[1]CLAIMS ACC'!F2</f>
        <v>0</v>
      </c>
    </row>
    <row r="105" spans="2:9" ht="14.25" customHeight="1">
      <c r="B105" s="8" t="s">
        <v>181</v>
      </c>
      <c r="C105" s="11">
        <f>'[1]IVAR ISLAMABAD SHOP EXP(AMANAT)'!F2</f>
        <v>1940</v>
      </c>
      <c r="D105" s="4"/>
      <c r="E105" s="4"/>
      <c r="F105" s="4"/>
      <c r="I105" s="31"/>
    </row>
    <row r="106" spans="2:9" ht="14.25" customHeight="1">
      <c r="B106" s="8" t="s">
        <v>182</v>
      </c>
      <c r="C106" s="11">
        <f>'[1]BABER STUDIO (AMANAT)'!F2</f>
        <v>0</v>
      </c>
      <c r="D106" s="4"/>
      <c r="E106" s="4"/>
      <c r="F106" s="4"/>
    </row>
    <row r="107" spans="2:9" ht="14.25" customHeight="1">
      <c r="B107" s="8" t="s">
        <v>183</v>
      </c>
      <c r="C107" s="11">
        <f>'[1]IVAR SHARFABAD SHOP EXP(AMANAT)'!F2</f>
        <v>0</v>
      </c>
      <c r="D107" s="4"/>
      <c r="E107" s="4"/>
      <c r="F107" s="4"/>
    </row>
    <row r="108" spans="2:9" ht="14.25" customHeight="1">
      <c r="B108" s="8" t="s">
        <v>184</v>
      </c>
      <c r="C108" s="11">
        <f>'[1]MAJEED FABRICS (AMANAT)'!F2</f>
        <v>-249</v>
      </c>
      <c r="D108" s="4"/>
      <c r="E108" s="4"/>
      <c r="F108" s="4"/>
    </row>
    <row r="109" spans="2:9" ht="14.25" customHeight="1">
      <c r="B109" s="8" t="s">
        <v>185</v>
      </c>
      <c r="C109" s="11">
        <f>'[1]BISMILLAH TAX INDUSTRIES(AMANAT'!F2</f>
        <v>47600.533900000155</v>
      </c>
      <c r="D109" s="4"/>
      <c r="E109" s="4"/>
      <c r="F109" s="4"/>
    </row>
    <row r="110" spans="2:9" ht="14.25" customHeight="1">
      <c r="B110" s="8" t="s">
        <v>186</v>
      </c>
      <c r="C110" s="11">
        <f>'[1]SHARFABAD RENTAL AMANAT'!F2</f>
        <v>0</v>
      </c>
      <c r="D110" s="4"/>
      <c r="E110" s="4"/>
      <c r="F110" s="4"/>
    </row>
    <row r="111" spans="2:9" ht="14.25" customHeight="1">
      <c r="B111" s="8" t="s">
        <v>187</v>
      </c>
      <c r="C111" s="11">
        <f>'[1]MBK PRIVATE LIMITED AMANAT'!F2</f>
        <v>85213</v>
      </c>
      <c r="D111" s="4"/>
      <c r="E111" s="4"/>
      <c r="F111" s="4"/>
    </row>
    <row r="112" spans="2:9" ht="14.25" customHeight="1">
      <c r="B112" s="26" t="s">
        <v>188</v>
      </c>
      <c r="C112" s="11">
        <f>'[1]ALI RAZA LHR (AMANAT)'!F2</f>
        <v>0</v>
      </c>
      <c r="D112" s="4"/>
      <c r="E112" s="4"/>
      <c r="F112" s="4"/>
    </row>
    <row r="113" spans="2:6" ht="14.25" customHeight="1">
      <c r="B113" s="26" t="s">
        <v>189</v>
      </c>
      <c r="C113" s="11">
        <f>'[1]RAMZAN BHAI (AMANAT)'!F2</f>
        <v>0</v>
      </c>
      <c r="D113" s="4"/>
      <c r="E113" s="4"/>
      <c r="F113" s="4"/>
    </row>
    <row r="114" spans="2:6" ht="14.25" customHeight="1">
      <c r="B114" s="26" t="s">
        <v>190</v>
      </c>
      <c r="C114" s="11">
        <f>'[1]HANZALA TRADERS (AMANAT)'!F2</f>
        <v>82650</v>
      </c>
      <c r="D114" s="4"/>
      <c r="E114" s="4"/>
      <c r="F114" s="4"/>
    </row>
    <row r="115" spans="2:6" ht="14.25" customHeight="1">
      <c r="B115" s="26" t="s">
        <v>191</v>
      </c>
      <c r="C115" s="11">
        <f>'[1]ZAHEER BUKHARI SHOP (AMANAT)'!F2</f>
        <v>0</v>
      </c>
      <c r="D115" s="4"/>
      <c r="E115" s="4"/>
      <c r="F115" s="4"/>
    </row>
    <row r="116" spans="2:6" ht="14.25" customHeight="1">
      <c r="B116" s="26" t="s">
        <v>192</v>
      </c>
      <c r="C116" s="11">
        <f>'[1]WALEED VM (AMANAT)'!F2</f>
        <v>0</v>
      </c>
      <c r="D116" s="4"/>
      <c r="E116" s="4"/>
      <c r="F116" s="4"/>
    </row>
    <row r="117" spans="2:6" ht="14.25" customHeight="1">
      <c r="B117" s="26" t="s">
        <v>193</v>
      </c>
      <c r="C117" s="11">
        <f>'[1]YS DENIM (AMANAT)'!F2</f>
        <v>9990</v>
      </c>
      <c r="D117" s="4"/>
      <c r="E117" s="4"/>
      <c r="F117" s="4"/>
    </row>
    <row r="118" spans="2:6" ht="14.25" customHeight="1">
      <c r="B118" s="26" t="s">
        <v>194</v>
      </c>
      <c r="C118" s="11">
        <f>'[1]EHTISHAM BUKHARI STORE (AMANAT)'!F2</f>
        <v>0</v>
      </c>
      <c r="D118" s="4"/>
      <c r="E118" s="4"/>
      <c r="F118" s="4"/>
    </row>
    <row r="119" spans="2:6" ht="14.25" customHeight="1">
      <c r="B119" s="8"/>
      <c r="C119" s="11"/>
      <c r="D119" s="4"/>
      <c r="E119" s="4"/>
      <c r="F119" s="4"/>
    </row>
    <row r="120" spans="2:6" ht="14.25" customHeight="1">
      <c r="B120" s="21" t="s">
        <v>195</v>
      </c>
      <c r="C120" s="17">
        <f>SUM(C90:C119)</f>
        <v>710020.53390000015</v>
      </c>
      <c r="D120" s="4"/>
      <c r="E120" s="4"/>
      <c r="F120" s="4"/>
    </row>
    <row r="121" spans="2:6" ht="14.25" customHeight="1">
      <c r="B121" s="21"/>
      <c r="C121" s="18"/>
      <c r="D121" s="4"/>
      <c r="E121" s="4"/>
      <c r="F121" s="4"/>
    </row>
    <row r="122" spans="2:6" ht="14.25" customHeight="1">
      <c r="B122" s="21" t="s">
        <v>196</v>
      </c>
      <c r="C122" s="18"/>
      <c r="D122" s="4"/>
      <c r="E122" s="4"/>
      <c r="F122" s="4"/>
    </row>
    <row r="123" spans="2:6" ht="14.25" customHeight="1">
      <c r="B123" s="16" t="s">
        <v>197</v>
      </c>
      <c r="C123" s="11">
        <f>'[1]SAIM &amp; SAMEER DRAWINGS'!F2</f>
        <v>0</v>
      </c>
      <c r="D123" s="4"/>
      <c r="E123" s="4"/>
      <c r="F123" s="4"/>
    </row>
    <row r="124" spans="2:6" ht="14.25" customHeight="1">
      <c r="B124" s="16" t="s">
        <v>198</v>
      </c>
      <c r="C124" s="11">
        <f>'[1]REHMAN DRAWINGS'!F2</f>
        <v>0</v>
      </c>
      <c r="D124" s="4"/>
      <c r="E124" s="4"/>
      <c r="F124" s="4"/>
    </row>
    <row r="125" spans="2:6" ht="14.25" customHeight="1">
      <c r="B125" s="16" t="s">
        <v>199</v>
      </c>
      <c r="C125" s="11">
        <f>'[1]YAFEEZ DRAWINGS'!F2</f>
        <v>0</v>
      </c>
      <c r="D125" s="4"/>
      <c r="E125" s="4"/>
      <c r="F125" s="4"/>
    </row>
    <row r="126" spans="2:6" ht="14.25" customHeight="1">
      <c r="B126" s="16" t="s">
        <v>200</v>
      </c>
      <c r="C126" s="11">
        <f>'[1]MAAZ DRAWINGS'!F2</f>
        <v>0</v>
      </c>
      <c r="D126" s="4"/>
      <c r="E126" s="4"/>
      <c r="F126" s="4"/>
    </row>
    <row r="127" spans="2:6" ht="14.25" customHeight="1">
      <c r="B127" s="16" t="s">
        <v>201</v>
      </c>
      <c r="C127" s="11">
        <f>'[1]HANZALA DRAWINGS'!F2</f>
        <v>0</v>
      </c>
      <c r="D127" s="4"/>
      <c r="E127" s="4"/>
      <c r="F127" s="4"/>
    </row>
    <row r="128" spans="2:6" ht="14.25" customHeight="1">
      <c r="B128" s="21" t="s">
        <v>202</v>
      </c>
      <c r="C128" s="22">
        <f>SUM(C123:C127)</f>
        <v>0</v>
      </c>
      <c r="D128" s="4"/>
      <c r="E128" s="4"/>
      <c r="F128" s="4"/>
    </row>
    <row r="129" spans="2:6" ht="14.25" customHeight="1">
      <c r="B129" s="9"/>
      <c r="C129" s="9"/>
      <c r="D129" s="4"/>
      <c r="E129" s="4"/>
      <c r="F129" s="4"/>
    </row>
    <row r="130" spans="2:6" ht="14.25" customHeight="1">
      <c r="B130" s="6" t="s">
        <v>203</v>
      </c>
      <c r="C130" s="9"/>
      <c r="D130" s="4"/>
      <c r="E130" s="4"/>
      <c r="F130" s="4"/>
    </row>
    <row r="131" spans="2:6" ht="14.25" customHeight="1">
      <c r="B131" s="8" t="s">
        <v>204</v>
      </c>
      <c r="C131" s="11">
        <f>'[1]MISC EXPENSES'!F2</f>
        <v>0</v>
      </c>
      <c r="D131" s="4"/>
      <c r="E131" s="4"/>
      <c r="F131" s="4"/>
    </row>
    <row r="132" spans="2:6" ht="14.25" customHeight="1">
      <c r="B132" s="8" t="s">
        <v>205</v>
      </c>
      <c r="C132" s="11">
        <f>'[1]E-COMMERCE EXP'!F2</f>
        <v>0</v>
      </c>
      <c r="D132" s="4"/>
      <c r="E132" s="4"/>
      <c r="F132" s="4"/>
    </row>
    <row r="133" spans="2:6" ht="14.25" customHeight="1">
      <c r="B133" s="8" t="s">
        <v>206</v>
      </c>
      <c r="C133" s="11">
        <f>'[1]F.B ASTORE IVAR EXP'!F2</f>
        <v>0</v>
      </c>
      <c r="D133" s="4"/>
      <c r="E133" s="4"/>
      <c r="F133" s="4"/>
    </row>
    <row r="134" spans="2:6" ht="14.25" customHeight="1">
      <c r="B134" s="16" t="s">
        <v>207</v>
      </c>
      <c r="C134" s="11">
        <f>'[1]LEGEL EXPENSE'!F2</f>
        <v>0</v>
      </c>
      <c r="D134" s="4"/>
      <c r="E134" s="4"/>
      <c r="F134" s="4"/>
    </row>
    <row r="135" spans="2:6" ht="14.25" customHeight="1">
      <c r="B135" s="16" t="s">
        <v>208</v>
      </c>
      <c r="C135" s="11">
        <f>'[1]SALARY EXPENSE'!F2</f>
        <v>0</v>
      </c>
      <c r="D135" s="4"/>
      <c r="E135" s="4"/>
      <c r="F135" s="4"/>
    </row>
    <row r="136" spans="2:6" ht="14.25" customHeight="1">
      <c r="B136" s="16" t="s">
        <v>209</v>
      </c>
      <c r="C136" s="11">
        <f>'[1]ABHI PAY COMMISION EXP'!F2</f>
        <v>0</v>
      </c>
      <c r="D136" s="4"/>
      <c r="E136" s="4"/>
      <c r="F136" s="4"/>
    </row>
    <row r="137" spans="2:6" ht="14.25" customHeight="1">
      <c r="B137" s="16" t="s">
        <v>210</v>
      </c>
      <c r="C137" s="11">
        <f>'[1]POST EX DELIVERY CHARGES'!F2</f>
        <v>0</v>
      </c>
      <c r="D137" s="4"/>
      <c r="E137" s="4"/>
      <c r="F137" s="4"/>
    </row>
    <row r="138" spans="2:6" ht="14.25" customHeight="1">
      <c r="B138" s="32" t="s">
        <v>211</v>
      </c>
      <c r="C138" s="11">
        <f>'[1]  GIFT &amp; SAMPLE &amp; INFLUENCER EX'!F2</f>
        <v>0</v>
      </c>
      <c r="D138" s="4"/>
      <c r="E138" s="4"/>
      <c r="F138" s="4"/>
    </row>
    <row r="139" spans="2:6" ht="14.25" customHeight="1">
      <c r="B139" s="16" t="s">
        <v>212</v>
      </c>
      <c r="C139" s="11">
        <f>'[1]COURIER NEXT DELIVERY CHARGES'!F2</f>
        <v>0</v>
      </c>
      <c r="D139" s="4"/>
      <c r="E139" s="4"/>
      <c r="F139" s="4"/>
    </row>
    <row r="140" spans="2:6" ht="14.25" customHeight="1">
      <c r="B140" s="8" t="s">
        <v>213</v>
      </c>
      <c r="C140" s="11">
        <f>'[1]GOODS &amp; TRANSPORT EXP'!F2</f>
        <v>0</v>
      </c>
      <c r="D140" s="4"/>
      <c r="E140" s="4"/>
      <c r="F140" s="4"/>
    </row>
    <row r="141" spans="2:6" ht="14.25" customHeight="1">
      <c r="B141" s="8" t="s">
        <v>214</v>
      </c>
      <c r="C141" s="11">
        <f>'[1]AGENCY FEES EXP'!F2</f>
        <v>0</v>
      </c>
      <c r="D141" s="4"/>
      <c r="E141" s="4"/>
      <c r="F141" s="4"/>
    </row>
    <row r="142" spans="2:6" ht="14.25" customHeight="1">
      <c r="B142" s="8" t="s">
        <v>215</v>
      </c>
      <c r="C142" s="11">
        <f>'[1]PHOTOGRAPHY &amp; SHOOT EXP'!F2</f>
        <v>0</v>
      </c>
      <c r="D142" s="4"/>
      <c r="E142" s="4"/>
      <c r="F142" s="4"/>
    </row>
    <row r="143" spans="2:6" ht="14.25" customHeight="1">
      <c r="B143" s="8" t="s">
        <v>216</v>
      </c>
      <c r="C143" s="11">
        <f>'[1] COMMISSION EXP'!F2</f>
        <v>0</v>
      </c>
      <c r="D143" s="4"/>
      <c r="E143" s="4"/>
      <c r="F143" s="4"/>
    </row>
    <row r="144" spans="2:6" ht="14.25" customHeight="1">
      <c r="B144" s="8" t="s">
        <v>217</v>
      </c>
      <c r="C144" s="11">
        <f>'[1]SOFTWEAR EXP'!F2</f>
        <v>0</v>
      </c>
      <c r="D144" s="4"/>
      <c r="E144" s="4"/>
      <c r="F144" s="4"/>
    </row>
    <row r="145" spans="2:6" ht="14.25" customHeight="1">
      <c r="B145" s="8" t="s">
        <v>218</v>
      </c>
      <c r="C145" s="11">
        <f>'[1]T.G MARKETING EXP'!F2</f>
        <v>0</v>
      </c>
      <c r="D145" s="4"/>
      <c r="E145" s="4"/>
      <c r="F145" s="4"/>
    </row>
    <row r="146" spans="2:6" ht="14.25" customHeight="1">
      <c r="B146" s="8" t="s">
        <v>219</v>
      </c>
      <c r="C146" s="11">
        <f>'[1]PETTY CASH EXPENSE(IVAR)'!F2</f>
        <v>0</v>
      </c>
      <c r="D146" s="4"/>
      <c r="E146" s="4"/>
      <c r="F146" s="4"/>
    </row>
    <row r="147" spans="2:6" ht="14.25" customHeight="1">
      <c r="B147" s="8" t="s">
        <v>220</v>
      </c>
      <c r="C147" s="11">
        <f>'[1]BUKHARI SHOP BANK CHARGES'!F2</f>
        <v>0</v>
      </c>
      <c r="D147" s="4"/>
      <c r="E147" s="4"/>
      <c r="F147" s="4"/>
    </row>
    <row r="148" spans="2:6" ht="14.25" customHeight="1">
      <c r="B148" s="8" t="s">
        <v>221</v>
      </c>
      <c r="C148" s="11">
        <f>'[1]IVAR BUKARI SHOP RENT EXP'!F2</f>
        <v>0</v>
      </c>
      <c r="D148" s="4"/>
      <c r="E148" s="4"/>
      <c r="F148" s="4"/>
    </row>
    <row r="149" spans="2:6" ht="14.25" customHeight="1">
      <c r="B149" s="8" t="s">
        <v>222</v>
      </c>
      <c r="C149" s="11">
        <f>'[1]BUKHARI SHOP EMPLOYE SALARY EXP'!F2</f>
        <v>0</v>
      </c>
      <c r="D149" s="4"/>
      <c r="E149" s="4"/>
      <c r="F149" s="4"/>
    </row>
    <row r="150" spans="2:6" ht="14.25" customHeight="1">
      <c r="B150" s="8" t="s">
        <v>223</v>
      </c>
      <c r="C150" s="11">
        <f>'[1]STOCK LOSS EXPENSE'!F2</f>
        <v>0</v>
      </c>
      <c r="D150" s="4"/>
      <c r="E150" s="4"/>
      <c r="F150" s="4"/>
    </row>
    <row r="151" spans="2:6" ht="14.25" customHeight="1">
      <c r="B151" s="8" t="s">
        <v>224</v>
      </c>
      <c r="C151" s="11">
        <f>'[1]TRAVELLING EXPENSE'!F2</f>
        <v>0</v>
      </c>
      <c r="D151" s="4"/>
      <c r="E151" s="4"/>
      <c r="F151" s="4"/>
    </row>
    <row r="152" spans="2:6" ht="14.25" customHeight="1">
      <c r="B152" s="8" t="s">
        <v>225</v>
      </c>
      <c r="C152" s="11">
        <f>'[1]POST EX TAX CHARGES'!F2</f>
        <v>0</v>
      </c>
      <c r="D152" s="4"/>
      <c r="E152" s="4"/>
      <c r="F152" s="4"/>
    </row>
    <row r="153" spans="2:6" ht="14.25" customHeight="1">
      <c r="B153" s="8" t="s">
        <v>226</v>
      </c>
      <c r="C153" s="11">
        <f>'[1]IVAR SHOP BKHARI PETY CASH EXP '!F2</f>
        <v>0</v>
      </c>
      <c r="D153" s="4"/>
      <c r="E153" s="4"/>
      <c r="F153" s="4"/>
    </row>
    <row r="154" spans="2:6" ht="14.25" customHeight="1">
      <c r="B154" s="8" t="s">
        <v>227</v>
      </c>
      <c r="C154" s="11">
        <f>'[1]COURIER NEXT TAX CHARGES'!F2</f>
        <v>0</v>
      </c>
      <c r="D154" s="4"/>
      <c r="E154" s="4"/>
      <c r="F154" s="4"/>
    </row>
    <row r="155" spans="2:6" ht="14.25" customHeight="1">
      <c r="B155" s="8" t="s">
        <v>228</v>
      </c>
      <c r="C155" s="11">
        <f>'[1]WAREHOUSE DEPRICIATION EXPENSE'!F2</f>
        <v>0</v>
      </c>
      <c r="D155" s="4"/>
      <c r="E155" s="4"/>
      <c r="F155" s="4"/>
    </row>
    <row r="156" spans="2:6" ht="14.25" customHeight="1">
      <c r="B156" s="8" t="s">
        <v>229</v>
      </c>
      <c r="C156" s="11">
        <f>'[1]BUKHARI SHOP DEPR EXP'!F2</f>
        <v>0</v>
      </c>
      <c r="D156" s="4"/>
      <c r="E156" s="4"/>
      <c r="F156" s="4"/>
    </row>
    <row r="157" spans="2:6" ht="14.25" customHeight="1">
      <c r="B157" s="8" t="s">
        <v>230</v>
      </c>
      <c r="C157" s="11">
        <f>'[1]WAREHOUSE RENT EXP'!F2</f>
        <v>0</v>
      </c>
      <c r="D157" s="4"/>
      <c r="E157" s="4"/>
      <c r="F157" s="4"/>
    </row>
    <row r="158" spans="2:6" ht="14.25" customHeight="1">
      <c r="B158" s="8" t="s">
        <v>231</v>
      </c>
      <c r="C158" s="11">
        <f>'[1]NEW WAREHOUSE UTILITY EXP'!F2</f>
        <v>0</v>
      </c>
      <c r="D158" s="4"/>
      <c r="E158" s="4"/>
      <c r="F158" s="4"/>
    </row>
    <row r="159" spans="2:6" ht="14.25" customHeight="1">
      <c r="B159" s="8" t="s">
        <v>232</v>
      </c>
      <c r="C159" s="11">
        <f>'[1]IVAR BUKHARI SHOP UTILITY EXP'!F2</f>
        <v>0</v>
      </c>
      <c r="D159" s="4"/>
      <c r="E159" s="4"/>
      <c r="F159" s="4"/>
    </row>
    <row r="160" spans="2:6" ht="14.25" customHeight="1">
      <c r="B160" s="8" t="s">
        <v>233</v>
      </c>
      <c r="C160" s="11">
        <f>'[1]ABHI PAY TAX DEDUCT 3%'!F2</f>
        <v>0</v>
      </c>
      <c r="D160" s="4"/>
      <c r="E160" s="4"/>
      <c r="F160" s="4"/>
    </row>
    <row r="161" spans="2:6" ht="14.25" customHeight="1">
      <c r="B161" s="8" t="s">
        <v>234</v>
      </c>
      <c r="C161" s="11">
        <f>'[1]WAREHOUSE RENT EXP A-488'!F2</f>
        <v>0</v>
      </c>
      <c r="D161" s="4"/>
      <c r="E161" s="4"/>
      <c r="F161" s="4"/>
    </row>
    <row r="162" spans="2:6" ht="14.25" customHeight="1">
      <c r="B162" s="8" t="s">
        <v>235</v>
      </c>
      <c r="C162" s="11">
        <f>'[1]ENTERTAINMENT  EXPENSE'!F2</f>
        <v>0</v>
      </c>
      <c r="D162" s="4"/>
      <c r="E162" s="4"/>
      <c r="F162" s="4"/>
    </row>
    <row r="163" spans="2:6" ht="14.25" customHeight="1">
      <c r="B163" s="8" t="s">
        <v>236</v>
      </c>
      <c r="C163" s="11">
        <f>'[1]SAAD PETTY CASH EXP'!F2</f>
        <v>0</v>
      </c>
      <c r="D163" s="4"/>
      <c r="E163" s="4"/>
      <c r="F163" s="4"/>
    </row>
    <row r="164" spans="2:6" ht="14.25" customHeight="1">
      <c r="B164" s="8" t="s">
        <v>237</v>
      </c>
      <c r="C164" s="11">
        <f>'[1] LAHORE SHOP POS BANK CHARGES '!F2</f>
        <v>0</v>
      </c>
      <c r="D164" s="4"/>
      <c r="E164" s="4"/>
      <c r="F164" s="4"/>
    </row>
    <row r="165" spans="2:6" ht="14.25" customHeight="1">
      <c r="B165" s="8" t="s">
        <v>238</v>
      </c>
      <c r="C165" s="11">
        <f>'[1]IVAR LAHORE SHOP PETTY CASH EXP'!F2</f>
        <v>0</v>
      </c>
      <c r="D165" s="4"/>
      <c r="E165" s="4"/>
      <c r="F165" s="4"/>
    </row>
    <row r="166" spans="2:6" ht="14.25" customHeight="1">
      <c r="B166" s="8" t="s">
        <v>239</v>
      </c>
      <c r="C166" s="11">
        <f>'[1]VEHICLE MAINTENANCE EXP'!F2</f>
        <v>0</v>
      </c>
      <c r="D166" s="4"/>
      <c r="E166" s="4"/>
      <c r="F166" s="4"/>
    </row>
    <row r="167" spans="2:6" ht="14.25" customHeight="1">
      <c r="B167" s="8" t="s">
        <v>240</v>
      </c>
      <c r="C167" s="11">
        <f>'[1]IVAR LAHORE SHOP UTILITY EXP'!F2</f>
        <v>0</v>
      </c>
      <c r="D167" s="4"/>
      <c r="E167" s="4"/>
      <c r="F167" s="4"/>
    </row>
    <row r="168" spans="2:6" ht="14.25" customHeight="1">
      <c r="B168" s="8" t="s">
        <v>241</v>
      </c>
      <c r="C168" s="11">
        <f>'[1]IVAR LAHORE SHOP EMPLOYE SALARY'!F2</f>
        <v>0</v>
      </c>
      <c r="D168" s="4"/>
      <c r="E168" s="4"/>
      <c r="F168" s="4"/>
    </row>
    <row r="169" spans="2:6" ht="14.25" customHeight="1">
      <c r="B169" s="8" t="s">
        <v>242</v>
      </c>
      <c r="C169" s="11">
        <f>'[1]BLUE EX DELIVERY CHARGES'!F2</f>
        <v>0</v>
      </c>
      <c r="D169" s="4"/>
      <c r="E169" s="4"/>
      <c r="F169" s="4"/>
    </row>
    <row r="170" spans="2:6" ht="14.25" customHeight="1">
      <c r="B170" s="8" t="s">
        <v>243</v>
      </c>
      <c r="C170" s="11">
        <f>'[1]BAAD MAY COMMISION EXP'!F2</f>
        <v>0</v>
      </c>
      <c r="D170" s="4"/>
      <c r="E170" s="4"/>
      <c r="F170" s="4"/>
    </row>
    <row r="171" spans="2:6" ht="14.25" customHeight="1">
      <c r="B171" s="26" t="s">
        <v>244</v>
      </c>
      <c r="C171" s="11">
        <f>'[1]BAAD MAY TAX DEDUCT EXP'!F2</f>
        <v>0</v>
      </c>
      <c r="D171" s="4"/>
      <c r="E171" s="4"/>
      <c r="F171" s="4"/>
    </row>
    <row r="172" spans="2:6" ht="14.25" customHeight="1">
      <c r="B172" s="8" t="s">
        <v>245</v>
      </c>
      <c r="C172" s="11">
        <f>'[1]IVAR LAHORE SHOP RENT EXP'!F2</f>
        <v>0</v>
      </c>
      <c r="D172" s="4"/>
      <c r="E172" s="4"/>
      <c r="F172" s="4"/>
    </row>
    <row r="173" spans="2:6" ht="14.25" customHeight="1">
      <c r="B173" s="8" t="s">
        <v>246</v>
      </c>
      <c r="C173" s="11">
        <f>'[1]REPAIRING EXPENSE'!F2</f>
        <v>0</v>
      </c>
      <c r="D173" s="4"/>
      <c r="E173" s="4"/>
      <c r="F173" s="4"/>
    </row>
    <row r="174" spans="2:6" ht="14.25" customHeight="1">
      <c r="B174" s="8" t="s">
        <v>247</v>
      </c>
      <c r="C174" s="11">
        <f>'[1]ISLAMABAD SHOP POS BANK CHARGES'!F2</f>
        <v>0</v>
      </c>
      <c r="D174" s="4"/>
      <c r="E174" s="4"/>
      <c r="F174" s="4"/>
    </row>
    <row r="175" spans="2:6" ht="14.25" customHeight="1">
      <c r="B175" s="8" t="s">
        <v>248</v>
      </c>
      <c r="C175" s="11">
        <f>'[1]ISLAMABAD SHOP PETTY CASH EXP'!F2</f>
        <v>0</v>
      </c>
      <c r="D175" s="4"/>
      <c r="E175" s="4"/>
      <c r="F175" s="4"/>
    </row>
    <row r="176" spans="2:6" ht="14.25" customHeight="1">
      <c r="B176" s="8" t="s">
        <v>249</v>
      </c>
      <c r="C176" s="11">
        <f>'[1]IVAR LAHORE SHOP EXP'!F2</f>
        <v>0</v>
      </c>
      <c r="D176" s="4"/>
      <c r="E176" s="4"/>
      <c r="F176" s="4"/>
    </row>
    <row r="177" spans="2:6" ht="14.25" customHeight="1">
      <c r="B177" s="8" t="s">
        <v>250</v>
      </c>
      <c r="C177" s="11">
        <f>'[1]ISLAMABAD SHOP UTILITY EXP'!F2</f>
        <v>0</v>
      </c>
      <c r="D177" s="4"/>
      <c r="E177" s="4"/>
      <c r="F177" s="4"/>
    </row>
    <row r="178" spans="2:6" ht="14.25" customHeight="1">
      <c r="B178" s="8" t="s">
        <v>251</v>
      </c>
      <c r="C178" s="11">
        <f>'[1]IVAR BUKHARI SHOP EXP'!F2</f>
        <v>0</v>
      </c>
      <c r="D178" s="4"/>
      <c r="E178" s="4"/>
      <c r="F178" s="4"/>
    </row>
    <row r="179" spans="2:6" ht="14.25" customHeight="1">
      <c r="B179" s="8" t="s">
        <v>252</v>
      </c>
      <c r="C179" s="11">
        <f>'[1]IVAR ISLAMABAD SHOP RENT EXP'!F2</f>
        <v>0</v>
      </c>
      <c r="D179" s="4"/>
      <c r="E179" s="4"/>
      <c r="F179" s="4"/>
    </row>
    <row r="180" spans="2:6" ht="14.25" customHeight="1">
      <c r="B180" s="8" t="s">
        <v>253</v>
      </c>
      <c r="C180" s="11">
        <f>'[1]PLOT NO A-488 DEPR EXP'!F2</f>
        <v>0</v>
      </c>
      <c r="D180" s="4"/>
      <c r="E180" s="4"/>
      <c r="F180" s="4"/>
    </row>
    <row r="181" spans="2:6" ht="14.25" customHeight="1">
      <c r="B181" s="8" t="s">
        <v>254</v>
      </c>
      <c r="C181" s="11">
        <f>'[1]ISB SHOP DEPR EXP'!F2</f>
        <v>0</v>
      </c>
      <c r="D181" s="4"/>
      <c r="E181" s="4"/>
      <c r="F181" s="4"/>
    </row>
    <row r="182" spans="2:6" ht="14.25" customHeight="1">
      <c r="B182" s="8" t="s">
        <v>255</v>
      </c>
      <c r="C182" s="11">
        <f>'[1]LAHORE SHOP DEPR EXP'!F2</f>
        <v>0</v>
      </c>
      <c r="D182" s="4"/>
      <c r="E182" s="4"/>
      <c r="F182" s="4"/>
    </row>
    <row r="183" spans="2:6" ht="14.25" customHeight="1">
      <c r="B183" s="8" t="s">
        <v>256</v>
      </c>
      <c r="C183" s="11">
        <f>'[1]IVAR ISB EMPLOYE SALARY EXP'!F2</f>
        <v>0</v>
      </c>
      <c r="D183" s="4"/>
      <c r="E183" s="4"/>
      <c r="F183" s="4"/>
    </row>
    <row r="184" spans="2:6" ht="14.25" customHeight="1">
      <c r="B184" s="8" t="s">
        <v>257</v>
      </c>
      <c r="C184" s="11">
        <f>'[1]IVAR SHARFABAD SHOP EXP'!F2</f>
        <v>0</v>
      </c>
      <c r="D184" s="4"/>
      <c r="E184" s="4"/>
      <c r="F184" s="4"/>
    </row>
    <row r="185" spans="2:6" ht="14.25" customHeight="1">
      <c r="B185" s="8" t="s">
        <v>258</v>
      </c>
      <c r="C185" s="11">
        <f>'[1]IVAR SHARFABAD SHOP SALARY EXP'!F2</f>
        <v>0</v>
      </c>
      <c r="D185" s="4"/>
      <c r="E185" s="4"/>
      <c r="F185" s="4"/>
    </row>
    <row r="186" spans="2:6" ht="14.25" customHeight="1">
      <c r="B186" s="8" t="s">
        <v>259</v>
      </c>
      <c r="C186" s="11">
        <f>'[1]IVAR ISLAMABAD SHOP EXP'!F2</f>
        <v>0</v>
      </c>
      <c r="D186" s="4"/>
      <c r="E186" s="4"/>
      <c r="F186" s="4"/>
    </row>
    <row r="187" spans="2:6" ht="14.25" customHeight="1">
      <c r="B187" s="8" t="s">
        <v>260</v>
      </c>
      <c r="C187" s="11">
        <f>'[1]IVAR SHARFABAD SHOP RENT EXP'!F2</f>
        <v>0</v>
      </c>
      <c r="D187" s="4"/>
      <c r="E187" s="4"/>
      <c r="F187" s="4"/>
    </row>
    <row r="188" spans="2:6" ht="14.25" customHeight="1">
      <c r="B188" s="8" t="s">
        <v>261</v>
      </c>
      <c r="C188" s="11">
        <f>'[1]SHARFABAD SHOP DEPR EXP'!F2</f>
        <v>0</v>
      </c>
      <c r="D188" s="4"/>
      <c r="E188" s="4"/>
      <c r="F188" s="4"/>
    </row>
    <row r="189" spans="2:6" ht="14.25" customHeight="1">
      <c r="B189" s="8" t="s">
        <v>262</v>
      </c>
      <c r="C189" s="11">
        <f>'[1]SHARFABAD SHOP POS BANK CHARGES'!F2</f>
        <v>0</v>
      </c>
      <c r="D189" s="4"/>
      <c r="E189" s="4"/>
      <c r="F189" s="4"/>
    </row>
    <row r="190" spans="2:6" ht="14.25" customHeight="1">
      <c r="B190" s="8" t="s">
        <v>263</v>
      </c>
      <c r="C190" s="11">
        <f>'[1]MEEZAN AC 8231 BANK CHARGES'!F2</f>
        <v>0</v>
      </c>
      <c r="D190" s="4"/>
      <c r="E190" s="4"/>
      <c r="F190" s="4"/>
    </row>
    <row r="191" spans="2:6" ht="14.25" customHeight="1">
      <c r="B191" s="8" t="s">
        <v>264</v>
      </c>
      <c r="C191" s="11">
        <f>'[1]SHARFABAD SHOP UTILITY EXP'!F2</f>
        <v>0</v>
      </c>
      <c r="D191" s="4"/>
      <c r="E191" s="4"/>
      <c r="F191" s="4"/>
    </row>
    <row r="192" spans="2:6" ht="14.25" customHeight="1">
      <c r="B192" s="8" t="s">
        <v>265</v>
      </c>
      <c r="C192" s="11">
        <f>'[1]WITH HOLDING TAX EXP'!F2</f>
        <v>0</v>
      </c>
      <c r="D192" s="4"/>
      <c r="E192" s="4"/>
      <c r="F192" s="4"/>
    </row>
    <row r="193" spans="2:6" ht="14.25" customHeight="1">
      <c r="B193" s="26" t="s">
        <v>266</v>
      </c>
      <c r="C193" s="11">
        <f>'[1]SHARFABAD SHOP CASH LOSS'!F2</f>
        <v>0</v>
      </c>
      <c r="D193" s="33"/>
      <c r="E193" s="4"/>
      <c r="F193" s="4"/>
    </row>
    <row r="194" spans="2:6" ht="14.25" customHeight="1">
      <c r="B194" s="8" t="s">
        <v>267</v>
      </c>
      <c r="C194" s="11">
        <f>'[1]SHARFABAD SHOP PETTY CASH EXP'!F2</f>
        <v>0</v>
      </c>
      <c r="D194" s="33"/>
      <c r="E194" s="4"/>
      <c r="F194" s="4"/>
    </row>
    <row r="195" spans="2:6" ht="14.25" customHeight="1">
      <c r="B195" s="26" t="s">
        <v>268</v>
      </c>
      <c r="C195" s="11">
        <f>'[1]GST LAWYER FEES EXP'!F2</f>
        <v>0</v>
      </c>
      <c r="D195" s="33"/>
      <c r="E195" s="4"/>
      <c r="F195" s="4"/>
    </row>
    <row r="196" spans="2:6" ht="14.25" customHeight="1">
      <c r="B196" s="26" t="s">
        <v>269</v>
      </c>
      <c r="C196" s="11">
        <f>'[1]UBL 7741 BANK CHARGES'!F2</f>
        <v>0</v>
      </c>
      <c r="D196" s="33"/>
      <c r="E196" s="4"/>
      <c r="F196" s="4"/>
    </row>
    <row r="197" spans="2:6" ht="14.25" customHeight="1">
      <c r="B197" s="26" t="s">
        <v>270</v>
      </c>
      <c r="C197" s="11">
        <f>'[1]MONTHLY GST CHALLAN'!F2</f>
        <v>0</v>
      </c>
      <c r="D197" s="33"/>
      <c r="E197" s="4"/>
      <c r="F197" s="4"/>
    </row>
    <row r="198" spans="2:6" ht="14.25" customHeight="1">
      <c r="B198" s="26" t="s">
        <v>271</v>
      </c>
      <c r="C198" s="11">
        <f>'[1]EASY PAYSA DISCOUNT WORLD EXP F'!F2</f>
        <v>0</v>
      </c>
      <c r="D198" s="33"/>
      <c r="E198" s="4"/>
      <c r="F198" s="4"/>
    </row>
    <row r="199" spans="2:6" ht="14.25" customHeight="1">
      <c r="B199" s="26" t="s">
        <v>272</v>
      </c>
      <c r="C199" s="11">
        <f>'[1]YOUSUF LAWYER SALARY EXP'!F2</f>
        <v>0</v>
      </c>
      <c r="D199" s="33"/>
      <c r="E199" s="4"/>
      <c r="F199" s="4"/>
    </row>
    <row r="200" spans="2:6" ht="14.25" customHeight="1">
      <c r="B200" s="26" t="s">
        <v>273</v>
      </c>
      <c r="C200" s="11">
        <f>'[1]GST INVOICE COMMISSION EXP'!F2</f>
        <v>0</v>
      </c>
      <c r="D200" s="33"/>
      <c r="E200" s="4"/>
      <c r="F200" s="4"/>
    </row>
    <row r="201" spans="2:6" ht="14.25" customHeight="1">
      <c r="B201" s="26" t="s">
        <v>274</v>
      </c>
      <c r="C201" s="11">
        <f>'[1]EASY PAYSA DIS WORLD EXP FOR ON'!F2</f>
        <v>0</v>
      </c>
      <c r="D201" s="33"/>
      <c r="E201" s="4"/>
      <c r="F201" s="4"/>
    </row>
    <row r="202" spans="2:6" ht="14.25" customHeight="1">
      <c r="B202" s="26" t="s">
        <v>275</v>
      </c>
      <c r="C202" s="11">
        <f>'[1]GST EXPENSE'!F2</f>
        <v>0</v>
      </c>
      <c r="D202" s="33"/>
      <c r="E202" s="4"/>
      <c r="F202" s="4"/>
    </row>
    <row r="203" spans="2:6" ht="14.25" customHeight="1">
      <c r="B203" s="8"/>
      <c r="C203" s="11"/>
      <c r="D203" s="33"/>
      <c r="E203" s="4"/>
      <c r="F203" s="4"/>
    </row>
    <row r="204" spans="2:6" ht="14.25" customHeight="1">
      <c r="B204" s="6" t="s">
        <v>276</v>
      </c>
      <c r="C204" s="17">
        <f>SUM(C131:C203)</f>
        <v>0</v>
      </c>
      <c r="D204" s="33"/>
      <c r="E204" s="4"/>
      <c r="F204" s="4"/>
    </row>
    <row r="205" spans="2:6" ht="14.25" customHeight="1">
      <c r="B205" s="6"/>
      <c r="C205" s="18"/>
      <c r="D205" s="33"/>
      <c r="E205" s="4"/>
      <c r="F205" s="4"/>
    </row>
    <row r="206" spans="2:6" ht="14.25" customHeight="1">
      <c r="B206" s="6"/>
      <c r="C206" s="18"/>
      <c r="D206" s="33"/>
      <c r="E206" s="4"/>
      <c r="F206" s="4"/>
    </row>
    <row r="207" spans="2:6" ht="14.25" customHeight="1">
      <c r="B207" s="8" t="s">
        <v>277</v>
      </c>
      <c r="C207" s="17">
        <f>[1]DISINVESTMENT!F2</f>
        <v>0</v>
      </c>
      <c r="D207" s="33"/>
      <c r="E207" s="4"/>
      <c r="F207" s="4"/>
    </row>
    <row r="208" spans="2:6" ht="14.25" customHeight="1">
      <c r="B208" s="6"/>
      <c r="C208" s="18"/>
      <c r="D208" s="33"/>
      <c r="E208" s="4"/>
      <c r="F208" s="4"/>
    </row>
    <row r="209" spans="2:6" ht="14.25" customHeight="1">
      <c r="B209" s="6"/>
      <c r="C209" s="34"/>
      <c r="D209" s="33"/>
      <c r="E209" s="4"/>
      <c r="F209" s="4"/>
    </row>
    <row r="210" spans="2:6" ht="14.25" customHeight="1">
      <c r="B210" s="6" t="s">
        <v>278</v>
      </c>
      <c r="C210" s="34"/>
      <c r="D210" s="33"/>
      <c r="E210" s="4"/>
      <c r="F210" s="4"/>
    </row>
    <row r="211" spans="2:6" ht="14.25" customHeight="1">
      <c r="B211" s="8" t="s">
        <v>279</v>
      </c>
      <c r="C211" s="11">
        <f>'[1]IVAR WAREHOUSE STOCK'!F2</f>
        <v>35567668</v>
      </c>
      <c r="D211" s="33"/>
      <c r="E211" s="4"/>
      <c r="F211" s="4"/>
    </row>
    <row r="212" spans="2:6" ht="14.25" customHeight="1">
      <c r="B212" s="8" t="s">
        <v>280</v>
      </c>
      <c r="C212" s="11">
        <f>'[1]IVAR BUKHARI SHOP STOCK'!F2</f>
        <v>3431978</v>
      </c>
      <c r="D212" s="33"/>
      <c r="E212" s="4"/>
      <c r="F212" s="4"/>
    </row>
    <row r="213" spans="2:6" ht="14.25" customHeight="1">
      <c r="B213" s="35" t="s">
        <v>281</v>
      </c>
      <c r="C213" s="11">
        <f>'[1]IVAR LAHORE SHOP STOCK'!F2</f>
        <v>6933457</v>
      </c>
      <c r="D213" s="33"/>
      <c r="E213" s="4"/>
      <c r="F213" s="4"/>
    </row>
    <row r="214" spans="2:6" ht="14.25" customHeight="1">
      <c r="B214" s="35" t="s">
        <v>282</v>
      </c>
      <c r="C214" s="11">
        <f>'[1]IVAR ISLAMABAD I8 SHOP STOCK'!F2</f>
        <v>4841348</v>
      </c>
      <c r="D214" s="33"/>
      <c r="E214" s="4"/>
      <c r="F214" s="4"/>
    </row>
    <row r="215" spans="2:6" ht="14.25" customHeight="1">
      <c r="B215" s="35" t="s">
        <v>283</v>
      </c>
      <c r="C215" s="11">
        <f>'[1]IVAR SHARFABAD SHOP STOCK'!F2</f>
        <v>6423274</v>
      </c>
      <c r="D215" s="33"/>
      <c r="E215" s="4"/>
      <c r="F215" s="4"/>
    </row>
    <row r="216" spans="2:6" ht="14.25" customHeight="1">
      <c r="B216" s="8" t="s">
        <v>284</v>
      </c>
      <c r="C216" s="11">
        <f>'[1]FABRICS STOCK'!F2</f>
        <v>24564043</v>
      </c>
      <c r="D216" s="33"/>
      <c r="E216" s="4"/>
      <c r="F216" s="4"/>
    </row>
    <row r="217" spans="2:6" ht="14.25" customHeight="1">
      <c r="B217" s="8" t="s">
        <v>285</v>
      </c>
      <c r="C217" s="11">
        <f>'[1]ACCESSORIES STOCK'!F2</f>
        <v>9575942</v>
      </c>
      <c r="D217" s="33"/>
      <c r="E217" s="4"/>
      <c r="F217" s="4"/>
    </row>
    <row r="218" spans="2:6" ht="14.25" customHeight="1">
      <c r="B218" s="8" t="s">
        <v>286</v>
      </c>
      <c r="C218" s="11">
        <f>'[1]B STOCK'!F2</f>
        <v>4672507</v>
      </c>
      <c r="E218" s="4"/>
      <c r="F218" s="4"/>
    </row>
    <row r="219" spans="2:6" ht="14.25" customHeight="1">
      <c r="B219" s="6" t="s">
        <v>287</v>
      </c>
      <c r="C219" s="17">
        <f>SUM(C211:C218)</f>
        <v>96010217</v>
      </c>
      <c r="E219" s="4"/>
      <c r="F219" s="4"/>
    </row>
    <row r="220" spans="2:6" ht="14.25" customHeight="1">
      <c r="B220" s="6"/>
      <c r="C220" s="34"/>
      <c r="E220" s="4"/>
      <c r="F220" s="4"/>
    </row>
    <row r="221" spans="2:6" ht="14.25" customHeight="1">
      <c r="B221" s="36" t="s">
        <v>288</v>
      </c>
      <c r="C221" s="17">
        <f>C204+C120+C68+C53+C37+C219+C80+C207+C128+C19+C21+C87+C23</f>
        <v>197654321.39225999</v>
      </c>
      <c r="E221" s="25"/>
      <c r="F221" s="17">
        <f>F87+F33+F29+F9+F96+F102+F104</f>
        <v>197654320.99999997</v>
      </c>
    </row>
    <row r="222" spans="2:6" ht="14.25" customHeight="1">
      <c r="C222" s="37"/>
      <c r="E222" s="38"/>
      <c r="F222" s="37"/>
    </row>
    <row r="223" spans="2:6" ht="14.25" customHeight="1">
      <c r="C223" s="37"/>
      <c r="E223" s="38"/>
      <c r="F223" s="37"/>
    </row>
    <row r="224" spans="2:6" ht="14.25" customHeight="1">
      <c r="B224" s="36" t="s">
        <v>289</v>
      </c>
      <c r="D224" s="39">
        <f>C221-F221</f>
        <v>0.39226001501083374</v>
      </c>
    </row>
    <row r="225" spans="2:6" ht="14.25" customHeight="1"/>
    <row r="226" spans="2:6" ht="14.25" customHeight="1"/>
    <row r="227" spans="2:6" ht="14.25" customHeight="1"/>
    <row r="228" spans="2:6" ht="14.25" customHeight="1"/>
    <row r="229" spans="2:6" ht="14.25" customHeight="1">
      <c r="B229" s="24" t="s">
        <v>290</v>
      </c>
      <c r="F229" s="40"/>
    </row>
    <row r="230" spans="2:6" ht="14.25" customHeight="1"/>
    <row r="231" spans="2:6" ht="14.25" customHeight="1"/>
    <row r="232" spans="2:6" ht="14.25" customHeight="1"/>
    <row r="233" spans="2:6" ht="14.25" customHeight="1"/>
    <row r="234" spans="2:6" ht="14.25" customHeight="1"/>
    <row r="235" spans="2:6" ht="14.25" customHeight="1"/>
    <row r="236" spans="2:6" ht="14.25" customHeight="1"/>
    <row r="237" spans="2:6" ht="14.25" customHeight="1"/>
    <row r="238" spans="2:6" ht="14.25" customHeight="1"/>
    <row r="239" spans="2:6" ht="14.25" customHeight="1"/>
    <row r="240" spans="2:6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</sheetData>
  <mergeCells count="1">
    <mergeCell ref="B1:F1"/>
  </mergeCells>
  <hyperlinks>
    <hyperlink ref="E3" location="'SHAAD CAPITAL'!A1" display="SHAAD CAPITAL" xr:uid="{CB78D9F5-50E9-4A12-A933-CCC762834A90}"/>
    <hyperlink ref="B4" location="'FIXED ASSETS'!A1" display=" FIXED ASSETS" xr:uid="{0F4366CF-B94C-4797-9B66-CFDEDADE9CE4}"/>
    <hyperlink ref="E5" location="'REHMAN CAPITAL'!A1" display="REHMAN CAPITAL" xr:uid="{A9BFCFD4-FD2D-420C-B228-9316F4AD3CC0}"/>
    <hyperlink ref="B6" location="'PLOT NO A-488 FIXED ASSETS'!A1" display=" PLOT NO A-488 " xr:uid="{FD0128F2-A0DB-4CCE-9177-223BA915D976}"/>
    <hyperlink ref="E6" location="'MAAZ CAPITAL'!A1" display="MAAZ CAPITAL" xr:uid="{F069901F-364F-4FC0-A5D6-500319902356}"/>
    <hyperlink ref="B7" location="'SECURITY DEPO PLOT NO A-488'!A1" display=" SECURITY DEPOSIT PLOT NO# A-488" xr:uid="{03B31011-D00A-45F7-98AF-4CBAE2C6B717}"/>
    <hyperlink ref="E7" location="'YAFEEZ CAPITAL'!A1" display="YAFEEZ CAPITAL" xr:uid="{99098E8A-B992-477A-87D4-CB4E34434B86}"/>
    <hyperlink ref="B8" location="'SECURITY DEPO LAHORE OUTLET'!A1" display=" SECURITY DEPOSIT LAHORE OUTLET" xr:uid="{CD7B0382-B8A1-4894-8004-C4AF41FB1E0E}"/>
    <hyperlink ref="E8" location="'HANZALA CAPITAL'!A1" display="HANZALA CAPITAL" xr:uid="{08AA598D-9CA1-4AB3-810A-E407CB049963}"/>
    <hyperlink ref="B9" location="'METAL ASSETS'!A1" display=" METAL ASSETS" xr:uid="{635ADCEA-D563-41CA-B94A-D1CDA028EA9B}"/>
    <hyperlink ref="B10" location="'ISLAMABAD  OUTLET'!A1" display=" ISLAMABAD OUTLET" xr:uid="{22240538-CAA9-4209-A4C1-F342663DE43E}"/>
    <hyperlink ref="B11" location="'LAHORE OUTLET'!A1" display=" LAHORE OUTLET" xr:uid="{9BE4623B-8BF1-49D0-897F-B4ECCC7C872F}"/>
    <hyperlink ref="B12" location="'IVAR STORE SHARFABAD'!A1" display=" IVAR STORE SHARFABAD" xr:uid="{F27C5787-9A49-47C2-AFFA-B8C1FB200147}"/>
    <hyperlink ref="E12" location="'SALE (ABHI PAY)'!A1" display="  SALE(ABHI PAY)" xr:uid="{83F8D73F-BA9B-469D-999B-D53625D3D850}"/>
    <hyperlink ref="B13" location="'TELECOM SECURITY DEPOSIT'!A1" display=" TELECOM SECURITY DEPOSIT" xr:uid="{0DD45484-5DB3-43D8-AE3A-B9D2B76135CF}"/>
    <hyperlink ref="E13" location="'TCS SALES'!A1" display="  TCS SALES" xr:uid="{0A15B55C-6A41-4054-869B-7F635A0E454F}"/>
    <hyperlink ref="B14" location="'ADVERTISING CREDIT'!A1" display=" ADVERTISING CREDIT" xr:uid="{9C746005-6B67-4D69-BDC8-4AFFE0C8C403}"/>
    <hyperlink ref="E14" location="'PETTY BUYERS SALES'!A1" display="PETTY BUYERS SALES" xr:uid="{407F5A27-C5C4-47BA-8E1C-126855988D7C}"/>
    <hyperlink ref="B15" location="'IVAR FAISALABAD SHOP'!A1" display=" IVAR FAISALABAD SHOP" xr:uid="{69BADCEC-585D-4A04-A0C2-49244478177B}"/>
    <hyperlink ref="E15" location="'LAAM SALE'!A1" display="LAAM SALE" xr:uid="{DE97B971-53CD-4CB8-87CB-34B48452955C}"/>
    <hyperlink ref="B16" location="'USD ASSETS'!A1" display=" USD ASSETS " xr:uid="{7213AFBA-E4DA-4C93-A45E-FF8948F763FB}"/>
    <hyperlink ref="E16" location="'POST EX SALES'!A1" display="POST EX SALES" xr:uid="{29D95DCF-9A07-4CAF-BA3E-8B1D115F0400}"/>
    <hyperlink ref="E17" location="'  GIFT &amp; SAMPLE &amp; INFLUENCER SA'!A1" display="  GIFT &amp; SAMPLE &amp; INFLUENCER SALE" xr:uid="{1E963B5C-1B83-4F85-982A-DD9488FD58A7}"/>
    <hyperlink ref="E18" location="'COURIER NEXT SALES'!A1" display="COURIER NEXT SALE" xr:uid="{36FB6EDF-C38E-4901-8335-A529793AEE7F}"/>
    <hyperlink ref="E19" location="'BLUE EX SALE'!A1" display="BLUE EX SALE" xr:uid="{78023BBC-A1B1-4187-BD9B-C959768716E9}"/>
    <hyperlink ref="E20" location="'KARACHI ONLINE SALE'!A1" display="KARACHI ONLINE SALE" xr:uid="{B07E5241-6393-459A-A471-879E2355CDF3}"/>
    <hyperlink ref="B21" location="'CASH AT LOCKER'!A1" display="CASH AT LOCKER" xr:uid="{6FAD1AE1-7DC0-4407-9D0D-C2CA0A7E0915}"/>
    <hyperlink ref="E21" location="'DISPUTE PARCEL CS'!A1" display="DISPUTE PARCEL CS" xr:uid="{7612054F-18E1-41A6-888D-F9E0F98407A9}"/>
    <hyperlink ref="E22" location="'OFFLINE SALE'!A1" display="OFFLINE SALE" xr:uid="{5A2BEB5D-4554-4B23-8331-C9B3F8637E81}"/>
    <hyperlink ref="B23" location="'CASH AT HOME'!A1" display=" CASH AT HOME" xr:uid="{3FB3D740-8757-4014-B3E9-017B7401C16B}"/>
    <hyperlink ref="E23" location="'IVAR BUKHARI SHOP SALE'!A1" display="IVAR BUKHARI SHOP SALE" xr:uid="{CF445304-C0A9-46DE-AE42-CD49F89D8D7F}"/>
    <hyperlink ref="E24" location="'  IVAR LAHORE SHOP SALE'!A1" display="IVAR LAHORE SHOP SALE" xr:uid="{2AB37CD0-92F8-43A2-BFDA-29BD668D37B0}"/>
    <hyperlink ref="E25" location="'SALE (BAAD MAY)'!A1" display="SALE (BAAD MAY)" xr:uid="{2DAA7241-4848-4268-8068-705C2CCDF0CE}"/>
    <hyperlink ref="B26" location="'SALE RETURN'!A1" display=" SALE RETURN" xr:uid="{8E86B232-7299-4F87-BD39-38FA90AB8062}"/>
    <hyperlink ref="E26" location="'IVAR ISLAMABAD SHOP SALE'!A1" display="IVAR ISLAMABAD SHOP SALE" xr:uid="{7A708C74-614E-4E20-93F9-55652E6F4CAD}"/>
    <hyperlink ref="B27" location="'SALE RETURN POST EX'!A1" display=" POST EX SALE RETURN" xr:uid="{F8C5F8F8-CAAF-4B67-B9D1-D96DE0032F8F}"/>
    <hyperlink ref="E27" location="'IVAR SHARFABAD SHOP SALE'!A1" display="IVAR SHARFABAD SHOP SALE" xr:uid="{69819109-A9C6-40C6-B295-E5160322B80F}"/>
    <hyperlink ref="B28" location="'COURIER NEXT SALE RETURN'!A1" display=" COURIER NEXT SALE RETURN" xr:uid="{AD5738E9-CB65-47D0-AE4B-57EC323CB96E}"/>
    <hyperlink ref="B29" location="'IVAR BUKHARI SHOP RETURN'!A1" display=" IVAR BUKHARI SHOP RETURN" xr:uid="{6B2806B6-8BE2-4FC3-8A86-2665ABFF6459}"/>
    <hyperlink ref="B30" location="'ONLINE CSTMR SHOP REFUND'!A1" display=" ONLINE CSTMR SHOP REFUND" xr:uid="{3A92D4E2-D0A4-4D45-92B8-9D25C4D2C076}"/>
    <hyperlink ref="B31" location="'NICE SUPER MART SALE RETURN'!A1" display=" NICE SUPER MART SALE RETURN" xr:uid="{EB231E28-3798-46DD-8E4B-3799BDA066C2}"/>
    <hyperlink ref="B32" location="'    IVAR LAHORE SHOP REFUND'!A1" display=" IVAR LAHORE SHOP REFUNDS" xr:uid="{16F9AB79-F9AB-490D-B3C4-2C507843DC7F}"/>
    <hyperlink ref="E32" location="'PURCHASE RETURN'!A1" display="   PURCHASE RETURN" xr:uid="{1AE1F8F7-BCDC-42EE-A7A8-9D1F2EBFFE85}"/>
    <hyperlink ref="B33" location="'SALE RETURN BLUE EX'!A1" display=" BLUE EX SALE RETURN" xr:uid="{660CCDE2-22AB-4610-A109-0AE4800BAD8E}"/>
    <hyperlink ref="B34" location="'IVAR ISLAMABAD SHOP REFUND'!A1" display=" IVAR ISLAMABAD SHOP REFUND " xr:uid="{E7811C1D-2618-461F-9257-E7068F9082A0}"/>
    <hyperlink ref="B35" location="'IVAR SHARFABAD SHOP REFUND'!A1" display=" IVAR SHARFABAD SHOP REFUND " xr:uid="{9128E8B7-D102-4EFC-B046-893CAC2C2A63}"/>
    <hyperlink ref="E37" location="'JUNAID SHAIKH ACCESSORIES PAYEB'!A1" display=" JUNAID SHEIKH ACCESSORIES PAYBLE" xr:uid="{A76C39A4-DC3D-47B9-AD71-4E6E6158EC24}"/>
    <hyperlink ref="E38" location="' HAFIZ PRINTERS PAYBLE'!A1" display=" HAFIZ PRINTERS PAYBLE" xr:uid="{89E1B960-9071-4E05-88DB-DBE4E62D7FE7}"/>
    <hyperlink ref="E39" location="'SHAHEER PRINTING PAYBLE'!A1" display=" SHAHEER PRINTING PAYBLE" xr:uid="{935044ED-FA13-4AB6-92D9-EA0CBA4592A1}"/>
    <hyperlink ref="B40" location="'ACCESSORIES PURCHASED'!A1" display="ACCESSORIES PURCHASED" xr:uid="{DD0D22D0-D87F-4E96-8BA5-C347F4736C39}"/>
    <hyperlink ref="E40" location="'ALLIED CMT PAYBLE'!A1" display="  ALLIED CMT PAYBLE" xr:uid="{C3CB19F4-E33E-4F2C-BFC3-ECB493D38A52}"/>
    <hyperlink ref="B41" location="'T-SHIRT PURCHASED'!A1" display="T-SHIRT PURCHASED" xr:uid="{66AE7D9D-2B8C-466D-8AC0-0E64D978608F}"/>
    <hyperlink ref="E41" location="'MR.VALI ENTERPRIZE PAYBLE'!A1" display=" MR.VALI ENTERPRIZE PAYEBLE" xr:uid="{83098D6D-6084-4344-98F5-1679946C00E7}"/>
    <hyperlink ref="B42" location="'PURCHASE MISC '!A1" display="  PURCHASE MISC " xr:uid="{EC040B84-FDE8-4D8A-94DD-C327A5430C9A}"/>
    <hyperlink ref="E42" location="'M.ISRAR ENTERPRISE PAYBLE'!A1" display=" M.ISRAR ENTERPRISE PAYBLE" xr:uid="{CF77144B-2B37-4992-95D1-B968172A5427}"/>
    <hyperlink ref="B43" location="'U.G PURCHASE'!A1" display=" U.G PURCHASED" xr:uid="{3FB61316-C851-4096-8D34-7F84B7BE030D}"/>
    <hyperlink ref="E43" location="'ABDUL MUGHNI CMT PAYBLE'!A1" display=" ABDUL MUGHNI CMT PAYBLE" xr:uid="{2892E5A1-DC92-4A75-A00F-D44E876BBF1E}"/>
    <hyperlink ref="B44" location="'CMT PURCHASE'!A1" display=" CMT PURCHASED" xr:uid="{893B6F96-E822-4885-844C-9C53E5C6A73D}"/>
    <hyperlink ref="E44" location="'AHST APPAREL PAYBLE'!A1" display=" AHST APPAREL PAYBLE" xr:uid="{AC72DEEB-1A9D-4815-ADB5-0FA6A003DCD8}"/>
    <hyperlink ref="B45" location="'PAJAMA PURCHASE'!A1" display="PAJAMA PURCHASED" xr:uid="{C7CA8E73-F7FE-404E-967D-D1E9AA4EF094}"/>
    <hyperlink ref="E45" location="'ALAM APPAREL PAYBLE'!A1" display=" ALAM APPAREL PAYBLE" xr:uid="{50CC54F3-9484-4273-9762-43457ABDBDFA}"/>
    <hyperlink ref="B46" location="'FABRIC PURCHASED'!A1" display="FABRIC PURCHASED" xr:uid="{DEDFED5C-164E-4328-8592-BEB821E5DF4A}"/>
    <hyperlink ref="E46" location="'CLAIM REMAINING BALANCE'!A1" display=" CLAIM REMAINING BALANCE" xr:uid="{4F53288D-8536-4B47-A12D-522ACF7E049E}"/>
    <hyperlink ref="B47" location="'GARMENTS PURCHASE'!A1" display="GARMENT PURCHASE" xr:uid="{537FFBC3-F8A9-435E-9729-F95A5C7AFCA2}"/>
    <hyperlink ref="E47" location="'ASTORE BAGS PAYBLE'!A1" display=" ASTORE BAGS PAYBLE" xr:uid="{BAB09B75-7085-44F0-86A9-989FE61190CE}"/>
    <hyperlink ref="B48" location="'BAGS PURCHASE'!A1" display="BAGS PURCHASE" xr:uid="{A25EB6FB-50AB-40BA-BAA9-5879CB4D4B90}"/>
    <hyperlink ref="E48" location="'TODAY GARMENTS PAYBLE'!A1" display=" TODAY GARMENTS PAYBLE" xr:uid="{6A0D6098-A00C-457B-AC7F-4195E6EB7231}"/>
    <hyperlink ref="B49" location="'SHOES PURCHASE'!A1" display="SHOES PURCHASE" xr:uid="{75C2ED3C-F2F7-43E9-8404-E16A025EFD10}"/>
    <hyperlink ref="E49" location="'CONCEPT PACKAGES PAYABLE'!A1" display=" CONCEPT PACKAGES PAYABLE" xr:uid="{1E4E4427-C14F-4EB7-ADA7-C8925640B778}"/>
    <hyperlink ref="B50" location="'FRAGNANCE PURCHASE'!A1" display="FRAGNANCE PURCHASE" xr:uid="{C5AB652C-4539-4206-8AD8-96B032AFADC9}"/>
    <hyperlink ref="E50" location="'FINE TAIRE FABRIC'!A1" display=" FINE TARE FABRIC" xr:uid="{F7FC75A1-45C9-4230-AB86-8B1B09528037}"/>
    <hyperlink ref="B51" location="'DYING PURCHASED'!A1" display="DYING PURCHASE" xr:uid="{3B61B877-2E0C-468E-A517-C919D11E0989}"/>
    <hyperlink ref="E51" location="'  RIZWAN DENIM FABRIC PAYBLE'!A1" display=" RIZWAN DENIM FABRIC PAYBLE" xr:uid="{7B1A6736-81B0-4D7F-A697-62B547AFD8C3}"/>
    <hyperlink ref="E52" location="'1 STITCH SOLUTIONS PAYBLE'!A1" display=" 1 STITCH SOLUTION PAYBLE" xr:uid="{51336468-5542-4241-B716-3D68C31AB57D}"/>
    <hyperlink ref="E53" location="'ALLIED FABRIC PURCHASE ON CASH'!A1" display=" ALLIED FABRIC PURCHASED (ON CASH)" xr:uid="{8E0A44D3-5D12-42CB-8B2F-7C5E2D59C931}"/>
    <hyperlink ref="E54" location="'FATEH INDUSTRIES PAYBLE'!A1" display=" FATEH INDUSTRIES PAYBLE " xr:uid="{F911B319-3929-4FC3-AC7A-D581779A090D}"/>
    <hyperlink ref="E55" location="'S.K.F POLYTEX'!A1" display=" S.K.F POLYTEX" xr:uid="{0D89DE6B-8E75-4170-AEBD-D915F88A7536}"/>
    <hyperlink ref="B56" location="'SHAAD RCVBL'!A1" display=" SHAAD RECEVIBLE" xr:uid="{A727C047-24C2-4AF4-A3AD-A147169498D9}"/>
    <hyperlink ref="E56" location="'SHAAD FABRIC PAYBLE'!A1" display=" SHAAD FABRICS PAYBLE" xr:uid="{42FDE5BB-AFAA-4918-9B6E-B14C38219B40}"/>
    <hyperlink ref="B57" location="'PETTY BUYER RCVBL'!A1" display=" PETTY BUTYER RCVBL" xr:uid="{8C704BA7-8AFE-47A8-BE1C-EE1B4B9E1C9A}"/>
    <hyperlink ref="E57" location="'AL MAKKAH FABRICS CASH'!A1" display=" AL MAKKAH FABRICS CASH" xr:uid="{8B819ED2-79BC-4A1F-97BE-1BB664CF7E56}"/>
    <hyperlink ref="B58" location="'  LAAM RCVBL'!A1" display=" LAAM RCVBLE" xr:uid="{068575BC-736F-4CC2-87BE-7D7C8018A978}"/>
    <hyperlink ref="E58" location="'BADAMI SUITING CASH'!A1" display=" BADAMI SUITING CASH" xr:uid="{4071ACAB-178F-4671-BF21-03D7EEBC0C46}"/>
    <hyperlink ref="B59" location="'TCS REVBL'!A1" display=" TCS  RCVBL" xr:uid="{E181BD79-F070-4B95-AF1D-56340FAA9366}"/>
    <hyperlink ref="E59" location="'USMANI GARMENTS PAYBLE'!A1" display=" USMANI GARMENTS PAYBLE" xr:uid="{22A24483-149F-46E7-AE9A-AE1619B8E7BF}"/>
    <hyperlink ref="B60" location="'POST EX RCVBL'!A1" display="    POST EX RCVBL" xr:uid="{9D694137-53DC-4034-9FC9-F6692E903CF6}"/>
    <hyperlink ref="E60" location="'KHALIL FABRICS CASH'!A1" display=" KHALIL FABRICS CASH" xr:uid="{7693EDE8-36CF-43DC-AD9A-68384235EF10}"/>
    <hyperlink ref="B61" location="'COURIER NEXT RCVBLE'!A1" display=" COURIER NEXT RCVBLE" xr:uid="{416AAB3A-A50D-40C5-A9E5-8ADAA8FAE987}"/>
    <hyperlink ref="E61" location="'FANSIA FRAGNANCE PAYBLE'!A1" display=" FANSIA FRAGNANCE PAYBLE" xr:uid="{842E38C5-7DEF-4BB8-8D11-E4D7499C1BCF}"/>
    <hyperlink ref="B62" location="'BLUE EX RCVBLE'!A1" display=" BLUE EX RCVBLE" xr:uid="{89367667-04BD-4C78-90B2-B316369A3710}"/>
    <hyperlink ref="E62" location="'OK TRADERS PAYBLE'!A1" display=" OK TRADERS PAYBLE" xr:uid="{5F2C12C2-7C28-4966-8160-F642CFF4F929}"/>
    <hyperlink ref="B63" location="'ABHI PAY SHAAD RCVBLE'!A1" display=" ABHI PAY SHAAD RCVBLE" xr:uid="{EC267753-7DC1-4228-B06C-99B233A1ED29}"/>
    <hyperlink ref="E63" location="'RKM CORPRATION PAYBLE'!A1" display=" RKM CORPRATION PAYBLE" xr:uid="{7391A5A9-F64E-473C-930B-0CA67D299A09}"/>
    <hyperlink ref="B64" location="'BAAD MAY RCVBLE'!A1" display=" BAAD MAY RCVBLE" xr:uid="{DF4B2AE1-FBCD-4620-AEA2-13E2C0491880}"/>
    <hyperlink ref="E64" location="'KEMTEX PAYBLE'!A1" display=" KEMTEX PAYBLE" xr:uid="{77896F89-5911-4025-9954-AA05A80152E1}"/>
    <hyperlink ref="B65" location="'EASY PAYSA DISCOUNT WORLD RCVBL'!A1" display="EASY PAYSA DISCOUNT WORLD RCVBLE FOR SHOP" xr:uid="{D119A65F-F8AE-4981-A7D0-C88180E5C7CD}"/>
    <hyperlink ref="E65" location="'KNITEX PAYBLE'!A1" display=" KNITEX PAYBLE" xr:uid="{C3229F90-6E91-4A0B-A421-C19D46BF9248}"/>
    <hyperlink ref="B66" location="'EASY PAYSA DIS WORLD RCVBLE FOR'!A1" display="EASY PAYSA DIS WORLD RCVBLE FOR ONLINE" xr:uid="{9A555987-81FC-4492-B2E9-D23482BF2B02}"/>
    <hyperlink ref="E66" location="'MOIZ YASIN FABRICATION PAYBLE'!A1" display=" MOIZ YASIN FABRICATION PAYBLE" xr:uid="{847C72CB-8759-46E2-9076-DDB21728DDE0}"/>
    <hyperlink ref="E67" location="'MUSTAFA CLOTH (NOWSHERA) PAYBLE'!A1" display=" MUSTAFA CLOTH (NOWSHERA)" xr:uid="{5B8D4525-D888-456E-BAA9-6FE9CBFEEF80}"/>
    <hyperlink ref="E68" location="'GUL AHMED TEXTILE MILLS PAYBLE'!A1" display=" GUL AHMED TEXTILE MILLS PAYBLE" xr:uid="{A78C936C-083A-4A01-8194-98EB979B7477}"/>
    <hyperlink ref="E69" location="'MIMA INTERNATIONAL PAYBLE'!A1" display=" MIMA INTERNATIONAL PAYBLE" xr:uid="{CFDC1EAF-850D-4861-A61F-E4CD6FA68DC4}"/>
    <hyperlink ref="E70" location="'ARTISTIC PRINT HOUSE PAYBLE'!A1" display=" ARTISTIC PRINT HOUSE" xr:uid="{1BE0C632-0374-4CF0-B9A1-B755A9D47E78}"/>
    <hyperlink ref="B71" location="'NAYAB FASHION MUZAFFARABAD'!A1" display="NAYAB FASHION MUZAFFARABAD" xr:uid="{9420C868-BE2C-416E-AC0F-AC8039D4D247}"/>
    <hyperlink ref="E71" location="'ALAM APPERAL FABRIC PAYBLE'!A1" display=" ALAM APPERAL FABRIC PAYBLE" xr:uid="{CC615201-7F5E-4C9A-8D10-14BFADA7B70C}"/>
    <hyperlink ref="B72" location="' NICE SUPER MART'!A1" display="NICE SUPER MART" xr:uid="{F8E71C76-C6AF-41E4-A704-92B84230ADE9}"/>
    <hyperlink ref="E72" location="'AL AHAD FOOTWEAR'!A1" display="AL AHAD FOOTWEAR" xr:uid="{B33CE502-B18D-4239-A3E3-2E8B7E075E6F}"/>
    <hyperlink ref="B73" location="'TESCO SUPER MART'!A1" display="TESCO SUPER MART " xr:uid="{6F5FC525-D970-4AD7-9845-BBFB8EEEAD0F}"/>
    <hyperlink ref="E73" location="'AKRAM CONTRACTOR LEDGER'!A1" display="AKRAM CONTRACTOR " xr:uid="{5AD28280-A5E9-4191-AE0C-E24B6559A8D7}"/>
    <hyperlink ref="B74" location="'NEW WAY SUPER MART'!A1" display="NEW WAY SUPER MART" xr:uid="{0C32B176-EF5C-4F16-985F-4CBBF1304F82}"/>
    <hyperlink ref="E74" location="'J.K ENTERPRISES BUTTON'!A1" display="J.K ENTERPRISES BUTTON" xr:uid="{69D28321-E5C2-4D2A-A3A5-A5345B44E2C7}"/>
    <hyperlink ref="B75" location="'IVAR BUKHARI SHOP DEBTORS'!A1" display="IVAR BUKHARI SHOP DEBTORS" xr:uid="{1BD33B05-63CB-44EC-82CC-9B1187E79A22}"/>
    <hyperlink ref="E75" location="'MINAHEEL ENTERPRISE'!A1" display=" MINAHEEL ENTERPRISE " xr:uid="{0C1A20F4-61D6-471F-922D-BAB84DF6668E}"/>
    <hyperlink ref="B76" location="'  IVAR LAHORE SHOP DEBTORS'!A1" display="IVAR LAHORE SHOP DEBTORS" xr:uid="{4C3433F8-A357-432D-AD9F-1D69C7136B43}"/>
    <hyperlink ref="E76" location="'MISAAF ENERGY PVT LTD'!A1" display=" MISAAF ENERGY PVT LTD" xr:uid="{6BE75B5B-7B2A-4379-9E70-8EB480044425}"/>
    <hyperlink ref="B77" location="'IVAR ISLAMABAD SHOP DEBTORS'!A1" display="IVAR ISLAMABAD SHOP DEBTORS" xr:uid="{F23DD8C1-B201-4601-BFE7-528ADBB401B2}"/>
    <hyperlink ref="E77" location="'NK APPAREL PAYBLE'!A1" display=" NK APPAREL " xr:uid="{8E5437E0-6BEF-4FB3-B8D5-1D05CE9229FF}"/>
    <hyperlink ref="B78" location="'IVAR SHARFABAD SHOP DEBTORS'!A1" display="IVAR SHARFABAD SHOP DEBTORS" xr:uid="{4E2C2C3E-4D70-4423-A06D-B761DDE160B4}"/>
    <hyperlink ref="E78" location="'HUMAIR GAGAI PAYBLE'!A1" display=" HUMAIR GAGAI PAYBLE" xr:uid="{626699F6-293B-4986-B212-400A629F39D9}"/>
    <hyperlink ref="E79" location="'WALEED FOOTWEAR PAYBLE'!A1" display=" WALEED FOOTWEAR" xr:uid="{BD79E6F2-34F2-443B-96D9-600A2456AAEF}"/>
    <hyperlink ref="E80" location="'A.M APPAREL PAYBLE'!A1" display=" A.M APPAREL PAYBLE" xr:uid="{A8E0B1B4-5177-4640-A9A7-D17927AE7D94}"/>
    <hyperlink ref="E81" location="'MIMA INTERNATIONAL FABRIC PAYBL'!A1" display=" MIMA INTERNATIONAL FABRIC PAYBLE" xr:uid="{CFD389CC-0643-48EA-9B51-A0B0E32765D2}"/>
    <hyperlink ref="E82" location="'TEZCO INDUSTRIES PAYBLE'!A1" display=" TEZCO INDUSTRIES PAYBLE" xr:uid="{34B5D5EE-EBA9-4EB6-8F5C-8D9440D54DF4}"/>
    <hyperlink ref="E83" location="'ALAM TEXTILE TRADING PAYBLE'!A1" display=" ALAM TEXTILE TRADING PAYBLE" xr:uid="{F91C2111-D3C1-4EBF-A613-FE3CA0EF06E0}"/>
    <hyperlink ref="B84" location="'MEEZAN AC 8231'!A1" display="MEEZAN AC 8231" xr:uid="{677C10B9-AC91-4719-BC90-F8CA1ED54A94}"/>
    <hyperlink ref="E84" location="'AHMED JAMAL TEXTILE MILLS'!A1" display=" AHMED JAMAL TEXTILE MILLS " xr:uid="{7B74C085-5433-4A81-87CA-834C869BDC6A}"/>
    <hyperlink ref="B85" location="'UBL ACC 7741'!A1" display="UBL ACC 7741" xr:uid="{5754DFF7-DEDE-44B7-A185-4C33A7E21064}"/>
    <hyperlink ref="B86" location="'BANK AL FALAH ACC 2985'!A1" display="BANK ALFALAH ACC 2985" xr:uid="{2245AAA1-C74F-4CD1-A626-22E9C36CCA7B}"/>
    <hyperlink ref="B90" location="'TEMPORARY LOAN'!A1" display="STAFF TEMPORARY LOAN" xr:uid="{9167A588-2A96-4705-A766-4F65743A266A}"/>
    <hyperlink ref="E90" location="'WAREHOUSE PROVISION DEPR ACC'!A1" display="WAREHOUSE PROVISION DEPR ACC" xr:uid="{06154C82-7A34-4B55-8992-BD3DFD08BDD5}"/>
    <hyperlink ref="B91" location="'SHAAD TEMPORARY LOAN'!A1" display="SHAAD TEMPORARY LOAN" xr:uid="{FF4CB21B-AE9C-43F9-8650-F48EB4D8C4BA}"/>
    <hyperlink ref="E91" location="'BUKHARI SHOP PROVISION DEPR ACC'!A1" display="BUKHARI SHOP PRIVISION DEPR ACC" xr:uid="{4F35B19D-4E58-45ED-BECC-DB230BC5F7E2}"/>
    <hyperlink ref="B92" location="'SUSPENSE ACC'!A1" display="SUSPENSE ACCOUNT" xr:uid="{EA076838-CB58-41E2-9DA7-474F99567AFA}"/>
    <hyperlink ref="E92" location="'PLOT NOA-488 PROVISON DEPR ACC'!A1" display="PLOT NO A-488 PROVISION DEPR ACC" xr:uid="{0FFDE32A-93B1-46DD-A281-D9CA1A5967B1}"/>
    <hyperlink ref="B93" location="'POST EX CLAIM'!A1" display="POST EX CLAIM" xr:uid="{3DEA9081-D14F-4828-94CF-1789B237BE30}"/>
    <hyperlink ref="E93" location="'ISB SHOP PROVISION DEPR ACC'!A1" display="ISB OUTLET PROVISION DEPR ACC" xr:uid="{C3E8906D-5DA3-4D80-B090-0D92DF1F7CB0}"/>
    <hyperlink ref="B94" location="'COURIER NEXT CLAIM'!A1" display="COURIER NEXT CLAIM" xr:uid="{A0ED1B9C-8592-435E-BDFF-2731DFEB2CAE}"/>
    <hyperlink ref="E94" location="'LAHORE SHOP PROVISION DEPR ACC'!A1" display="LHR OUTLET PROVISION DEPR ACC" xr:uid="{D2904484-85EA-4D4E-B797-0B1A1423219C}"/>
    <hyperlink ref="B95" location="'IVAR BUKHARI SHOP EXP (amanat)'!A1" display="IVAR BUKHARI SHOP EXP (AMANAT)" xr:uid="{0F2D032B-A40E-4951-9580-8EAF5E840831}"/>
    <hyperlink ref="E95" location="'SHARFABAD SHOP PROVISION DEPRAC'!A1" display="SHRFABAD OUTLET PROVISION DEPR ACC" xr:uid="{8C51EB9C-E217-437C-B06B-07728E9F8659}"/>
    <hyperlink ref="B96" location="'TARIQ ELECTRICAIN (AMANAT)'!A1" display="TARIQ ELECTRITIAN (AMANAT)" xr:uid="{1F737BE7-3F67-4DE9-9654-101D3DE2A29A}"/>
    <hyperlink ref="B97" location="'AHAD CARPAINTER (AMANAT)'!A1" display="AHAD CARPAINTER (AMANAT)" xr:uid="{A5E55053-26E4-4D70-BB18-7044B2803746}"/>
    <hyperlink ref="B98" location="'KASHIF IVAR SHOP (AMANAT)'!A1" display="KASHIF IVAR SHOP (AMANAT)" xr:uid="{B51EFFF8-3ED7-4A50-8538-0E1787CB6B9D}"/>
    <hyperlink ref="B99" location="'SAAD PETTY CASH (AMANAT)'!A1" display="SAAD PETTY CASH (AMANAT)" xr:uid="{F309D58A-5F76-47FF-AC05-45419FEFD890}"/>
    <hyperlink ref="E99" location="'SILVER S P A C'!A1" display=" SILVER S/P  A/C" xr:uid="{C580E406-F897-4279-B465-14E5F6A27019}"/>
    <hyperlink ref="B100" location="'OSAMA AFZAL (LHR TOUR AMANAT)'!A1" display="OSAMA AFZAL LHR TOUR (AMANAT)" xr:uid="{CE7DEE4A-4E9F-4637-95A0-03848F062D5E}"/>
    <hyperlink ref="E100" location="'GOLD S P A C'!A1" display="GOLD S/P AC" xr:uid="{BC65B2A4-241A-41C2-9EE9-2C22F4D8A09E}"/>
    <hyperlink ref="B101" location="'IVAR LAHORE SHOP EXP (AMANAT)'!A1" display="IVAR LAHORE SHOP EXP (AMANAT)" xr:uid="{B3F6AF19-0A2B-4359-BAD4-829DA728E231}"/>
    <hyperlink ref="E101" location="'INCOME FORM FOREX MARKETING'!A1" display="INCOME FROM FOREX MARKETING" xr:uid="{49890F40-439F-41F0-A2F0-BB3851822F98}"/>
    <hyperlink ref="B102" location="'NAJEED SHAAD BROKER (AMANAT)'!A1" display="NAJEED SHAAD BROKER (AMANAT)" xr:uid="{FBB58114-E390-45CE-89EA-ECBD7E9BD5DA}"/>
    <hyperlink ref="B103" location="'QASIM HEAD OF RETAIL (AMANAT)'!A1" display="QASIM HEAD OF RETAIL (AMANAT)" xr:uid="{3FFEFAE6-2876-4A6E-8143-BE8B30B8B7A7}"/>
    <hyperlink ref="B104" location="'KASHAN (AMANAT)'!A1" display="KASHAN (AMANAT) " xr:uid="{2DFAF835-6FA9-4CEC-BC9B-E6B212DBAC19}"/>
    <hyperlink ref="E104" location="'CLAIMS ACC'!A1" display="CLAIMS ACC" xr:uid="{F3755C1B-1986-492E-9788-9BCF5C1B240D}"/>
    <hyperlink ref="B105" location="'IVAR ISLAMABAD SHOP EXP(AMANAT)'!A1" display="IVAR ISLAMABAD SHOP EXP (AMANAT)" xr:uid="{27B2A594-4091-4CD5-AC55-A5B92A70324A}"/>
    <hyperlink ref="B106" location="'BABER STUDIO (AMANAT)'!A1" display="BABER STUDIO (AMANAT)" xr:uid="{0D593F11-C9FD-48DB-802C-C4158339B6EC}"/>
    <hyperlink ref="B107" location="'IVAR SHARFABAD SHOP EXP(AMANAT)'!A1" display="IVAR SHARFABAD SHOP EXP (AMANAT)" xr:uid="{3AC02D28-7211-42E2-B71C-6AD0DB2A86CD}"/>
    <hyperlink ref="B108" location="'MAJEED FABRICS (AMANAT)'!A1" display="MAJEED FABRICS (AMANAT)" xr:uid="{0EA0AC20-2218-41DF-9337-AC2BC9CCC8B9}"/>
    <hyperlink ref="B109" location="'BISMILLAH TAX INDUSTRIES(AMANAT'!A1" display="BISMILLAH TAX INDUSTRIES (AMANAT)" xr:uid="{51D2F44C-3972-479B-A084-886BDA60F06E}"/>
    <hyperlink ref="B110" location="'SHARFABAD RENTAL AMANAT'!A1" display="SHARFABAD RENTAL AMANAT" xr:uid="{CCEC4689-7F3C-4BC0-A6B3-8146FFE0226E}"/>
    <hyperlink ref="B111" location="'MBK PRIVATE LIMITED AMANAT'!A1" display="MBK PRIVATE LIMITED (AMANAT)" xr:uid="{CC6898C4-AE73-47B8-989C-D667AA66A07E}"/>
    <hyperlink ref="B112" location="'ALI RAZA LHR (AMANAT)'!A1" display="ALI RAZA LHR (AMANAT)" xr:uid="{CBABB0C1-C09B-41E7-86C4-68CEC3767ACB}"/>
    <hyperlink ref="B113" location="'RAMZAN BHAI (AMANAT)'!A1" display="RAMZAN BHAI (AMANAT)" xr:uid="{F9EF08B7-4DE9-43A8-B03C-7C07316B1EC4}"/>
    <hyperlink ref="B114" location="'HANZALA TRADERS (AMANAT)'!A1" display="HANZALA TRADERS (AMANAT)" xr:uid="{6630DBF4-2C78-4A94-98F9-9E6F784D1D2E}"/>
    <hyperlink ref="B115" location="'ZAHEER BUKHARI SHOP (AMANAT)'!A1" display="ZAHEER BUKHARI SHOP (AMANAT)" xr:uid="{44A25AFF-9DAB-461C-855F-B93EE27134B2}"/>
    <hyperlink ref="B116" location="'WALEED VM (AMANAT)'!A1" display="WALEED VM (AMANAT)" xr:uid="{C06DCA9F-E712-46E2-85F3-9856DD2D00F6}"/>
    <hyperlink ref="B117" location="'YS DENIM (AMANAT)'!A1" display="YS DENIM (AMANAT)" xr:uid="{B5421C2A-6113-4B65-AF6C-C289FE20C0A9}"/>
    <hyperlink ref="B118" location="'EHTISHAM BUKHARI STORE (AMANAT)'!A1" display="EHTISHAM BUKHARI STORE (AMANAT)" xr:uid="{65AB3AF2-457E-4075-A038-7C5F951B5CF4}"/>
    <hyperlink ref="B123" location="'SAIM &amp; SAMEER DRAWINGS'!A1" display=" SAIM &amp; SAMEER DRAWINGS" xr:uid="{2F7C3E16-946E-4229-81A5-F311A84E4B5A}"/>
    <hyperlink ref="B124" location="'REHMAN DRAWINGS'!A1" display=" REHMAN DRAWINGS" xr:uid="{FD5148EF-61C3-47DA-9B75-12607D11105C}"/>
    <hyperlink ref="B125" location="'YAFEEZ DRAWINGS'!A1" display=" YAFEEZ DRAWINGS" xr:uid="{DC3F3571-1CCC-4E86-B521-E4D7AD664D7B}"/>
    <hyperlink ref="B126" location="'MAAZ DRAWINGS'!A1" display=" MAAZ DRAWINGS" xr:uid="{06981046-4C10-4E86-8479-E3D840027828}"/>
    <hyperlink ref="B127" location="'HANZALA DRAWINGS'!A1" display=" HANZALA DRAWINGS" xr:uid="{0B65177A-D15E-4364-97FA-E8379612B402}"/>
    <hyperlink ref="B131" location="'MISC EXPENSES'!A1" display="MISC EXPENSES" xr:uid="{E2DC64BF-F078-4BA5-A8CA-61AE9334AC67}"/>
    <hyperlink ref="B132" location="'E-COMMERCE EXP'!A1" display="E-COMMERCE EXPENSE" xr:uid="{6B0E467C-E24A-44D4-9B3E-0A008CF991C8}"/>
    <hyperlink ref="B133" location="'F.B ASTORE IVAR EXP'!A1" display="F.B ASTORE IVAR" xr:uid="{1B16F10A-D44E-4C53-B490-CD9311925309}"/>
    <hyperlink ref="B134" location="'LEGEL EXPENSE'!A1" display=" LEGEL EXPENSES" xr:uid="{8B5F54B1-A373-4682-B79E-AE5F60884057}"/>
    <hyperlink ref="B135" location="'SALARY EXPENSE'!A1" display="  SALARY EXPENSES" xr:uid="{80DBBB23-F2C0-492F-BE78-CFDD15C51E19}"/>
    <hyperlink ref="B136" location="'ABHI PAY COMMISION EXP'!A1" display="  ABHI PAY COMMISION EXPENSES" xr:uid="{14CE29C3-C34C-4FB3-BC54-505447859BC3}"/>
    <hyperlink ref="B137" location="'POST EX DELIVERY CHARGES'!A1" display=" POST EX DELIVERY CHARGES" xr:uid="{557E7230-E8B7-4243-A276-C6FCEAF04CF6}"/>
    <hyperlink ref="B138" location="'  GIFT &amp; SAMPLE &amp; INFLUENCER EX'!A1" display="    GIFT &amp; SAMPLE &amp; INFLUENCER EXP" xr:uid="{220F717D-0E75-425D-A4ED-83E9E5367112}"/>
    <hyperlink ref="B139" location="'COURIER NEXT DELIVERY CHARGES'!A1" display=" COURIER NEXT DELIVERY CHARGES" xr:uid="{4461A1B3-95A3-4351-9FDF-5A1D13CC0F0F}"/>
    <hyperlink ref="B140" location="'GOODS &amp; TRANSPORT EXP'!A1" display="GOODS &amp; TRANSPORT EXP" xr:uid="{5106D7E2-6AB6-442A-B62B-544FDDB6D8EA}"/>
    <hyperlink ref="B141" location="'AGENCY FEES EXP'!A1" display="AGENCY FEES EXP" xr:uid="{2BCE482B-3950-4593-A6C0-0D65C82779DF}"/>
    <hyperlink ref="B142" location="'PHOTOGRAPHY &amp; SHOOT EXP'!A1" display="PHOTOGRAPHY &amp; SHOOT EXP" xr:uid="{CBC75172-87B4-4989-AE34-72A5690A3DF2}"/>
    <hyperlink ref="B143" location="' COMMISSION EXP'!A1" display="COMMISSION EXP" xr:uid="{79780B6A-5120-45DE-AD8D-BEB6B6D66D45}"/>
    <hyperlink ref="B144" location="'SOFTWEAR EXP'!A1" display="SOFTWEAR EXP" xr:uid="{88667962-2784-4979-9552-9F4F84983754}"/>
    <hyperlink ref="B145" location="'T.G MARKETING EXP'!A1" display="T.G MARKETING EXP" xr:uid="{02A98742-2DE5-480D-91C9-6421B3AC6FD2}"/>
    <hyperlink ref="B146" location="'PETTY CASH EXPENSE(IVAR)'!A1" display="PETTY CASH EXPENSE (IVAR)" xr:uid="{86878C65-6A58-4575-81FD-C4A625F48F4E}"/>
    <hyperlink ref="B147" location="'BUKHARI SHOP BANK CHARGES'!A1" display="BUKHARI SHOP BANK CHARGES" xr:uid="{2B8BF2F1-827A-4A8D-BB61-E05E42C53E4A}"/>
    <hyperlink ref="B148" location="'IVAR BUKARI SHOP RENT EXP'!A1" display="IVAR BUKHARI SHOP RENT EXP" xr:uid="{67C806E1-1DED-40EC-88AB-66CAABDDA370}"/>
    <hyperlink ref="B149" location="'BUKHARI SHOP EMPLOYE SALARY EXP'!A1" display="BUKHARI SHOP EMPLOYE SALARY EXP" xr:uid="{DEEA0FAF-54B0-4B62-A54F-0E8D9CD489C7}"/>
    <hyperlink ref="B150" location="'STOCK LOSS EXPENSE'!A1" display="STOCK LOSS EXPENSE" xr:uid="{4E9AD73C-1E1D-459A-B341-89D10AC45F7B}"/>
    <hyperlink ref="B151" location="'TRAVELLING EXPENSE'!A1" display="TRAVELLING EXPENSE" xr:uid="{5BFD65C9-267F-4006-9483-5A604458F700}"/>
    <hyperlink ref="B152" location="'POST EX TAX CHARGES'!A1" display="POST EX TAX CHARGES" xr:uid="{D1E7C7FD-4D89-45B6-B116-8BBA0FD4DB0F}"/>
    <hyperlink ref="B153" location="'IVAR SHOP BKHARI PETY CASH EXP '!A1" display="IVAR BUKHARI SHOP PETTY CASH EXP" xr:uid="{B99F653B-743B-402D-AAB2-4701087A8326}"/>
    <hyperlink ref="B154" location="'COURIER NEXT TAX CHARGES'!A1" display="COURIER NEXT TAX CHARGES" xr:uid="{4BE19398-A19A-4082-8596-E46E1E68E1C0}"/>
    <hyperlink ref="B155" location="'WAREHOUSE DEPRICIATION EXPENSE'!A1" display="WAREHOUSE DEPRICIATION EXPENSE" xr:uid="{13A7E3ED-FBC6-4C4C-AB57-82B11EDAEABD}"/>
    <hyperlink ref="B156" location="'BUKHARI SHOP DEPR EXP'!A1" display="BUKHARI SHOP DEPR EXP" xr:uid="{98DF6118-786D-4808-9D15-369F57176C2A}"/>
    <hyperlink ref="B157" location="'WAREHOUSE RENT EXP'!A1" display="WAREHOUSE RENT EXP" xr:uid="{4CE81B44-840A-474B-9950-9D953A644197}"/>
    <hyperlink ref="B158" location="'NEW WAREHOUSE UTILITY EXP'!A1" display="NEW WAREHOUSE UTILITY EXP" xr:uid="{C2D9B17D-51FE-48DB-9F75-E15BA7667E2D}"/>
    <hyperlink ref="B159" location="'IVAR BUKHARI SHOP UTILITY EXP'!A1" display="IVAR BUKHARI SHOP UTILITY EXP" xr:uid="{94185C44-2BE4-49A3-9C22-29BC1F39A27C}"/>
    <hyperlink ref="B160" location="'ABHI PAY TAX DEDUCT 3%'!A1" display="ABHI PAY TAX DEDUCT 3%" xr:uid="{04699FB4-F39A-4F1F-BB66-6FA462C854C7}"/>
    <hyperlink ref="B161" location="'WAREHOUSE RENT EXP A-488'!A1" display="WAREHOUSE RENT EXP A-488" xr:uid="{EE31F0A5-A837-4021-9E18-7DC1A5ED1B17}"/>
    <hyperlink ref="B162" location="'ENTERTAINMENT  EXPENSE'!A1" display="ENTERTAINMENT EXP" xr:uid="{C70B982B-FDB7-4E08-96B0-B59E0CE96520}"/>
    <hyperlink ref="B163" location="'SAAD PETTY CASH EXP'!A1" display="SAAD PETTY CASH EXP" xr:uid="{01E1AB44-396B-41D5-9C39-98E20AEAAF02}"/>
    <hyperlink ref="B164" location="' LAHORE SHOP POS BANK CHARGES '!A1" display="LAHORE SHOP POS BANK CHARGES" xr:uid="{CD56F1FD-12AF-4C91-9CA1-12D576274E6D}"/>
    <hyperlink ref="B165" location="'IVAR LAHORE SHOP PETTY CASH EXP'!A1" display="IVAR LAHORE SHOP PETTY CASH EXP" xr:uid="{D37CFD51-837D-4C55-9F92-989AE826AD34}"/>
    <hyperlink ref="B166" location="'VEHICLE MAINTENANCE EXP'!A1" display="VEHICLE MAINTENANCE EXP" xr:uid="{30EF121D-2002-4430-A4B3-9EFDE5CA8FE1}"/>
    <hyperlink ref="B167" location="'IVAR LAHORE SHOP UTILITY EXP'!A1" display="IVAR LAHORE SHOP UTILITY EXP" xr:uid="{AF7D972A-B227-4D8C-96B6-D987C2C56B91}"/>
    <hyperlink ref="B168" location="'IVAR LAHORE SHOP EMPLOYE SALARY'!A1" display="IVAR LAHORE SHOP EMPLOYE SALARY EXP" xr:uid="{8C269461-A304-4EC5-989F-42A88948A8BC}"/>
    <hyperlink ref="B169" location="'BLUE EX DELIVERY CHARGES'!A1" display="BLUE EX DELIVERY CHARGES" xr:uid="{F9A4E25F-153F-4FC2-80DF-BEAADE681CE0}"/>
    <hyperlink ref="B170" location="'BAAD MAY COMMISION EXP'!A1" display="BAAD MAY COMMISSION EXP" xr:uid="{1A7FFB61-F9B5-496D-81FF-06856160EFF1}"/>
    <hyperlink ref="B171" location="'BAAD MAY TAX DEDUCT EXP'!A1" display="BAAD MAY TAX DEDUCT EXP" xr:uid="{9AF72043-9FA2-49A5-B075-C4C37E929F81}"/>
    <hyperlink ref="B172" location="'IVAR LAHORE SHOP RENT EXP'!A1" display="IVAR LAHORE SHOP RENT EXP" xr:uid="{6D3DC7B9-6535-4AD2-8A17-3C3F45A1464D}"/>
    <hyperlink ref="B173" location="'REPAIRING EXPENSE'!A1" display="REPAIRING EXPENSE" xr:uid="{C36B1CAE-A1F2-4C24-941A-A9B2BF96DA30}"/>
    <hyperlink ref="B174" location="'ISLAMABAD SHOP POS BANK CHARGES'!A1" display="ISLAMABAD SHOP POS BANK CHARGES" xr:uid="{68A81BE6-4634-4B53-9893-8D4F650E0D88}"/>
    <hyperlink ref="B175" location="'ISLAMABAD SHOP PETTY CASH EXP'!A1" display="ISLAMABAD SHOP PETTY CASH EXP" xr:uid="{F11517C1-88B0-45D6-A6A1-F386D9961F8E}"/>
    <hyperlink ref="B176" location="'IVAR LAHORE SHOP EXP'!A1" display="IVAR LAHORE SHOP EXP" xr:uid="{738C1702-99CF-4069-9B3C-5AA8F4C91FB0}"/>
    <hyperlink ref="B177" location="'ISLAMABAD SHOP UTILITY EXP'!A1" display="ISLAMABAD SHOP UTILITY EXP" xr:uid="{D33FAF59-E7AE-493D-B346-687BAB35A2C8}"/>
    <hyperlink ref="B178" location="'IVAR BUKHARI SHOP EXP'!A1" display="IVAR BUKHARI SHOP EXP" xr:uid="{F1D51B9B-1BCA-44D0-B0D5-9C2AC8099257}"/>
    <hyperlink ref="B179" location="'IVAR ISLAMABAD SHOP RENT EXP'!A1" display="ISLAMABAD SHOP RENT EXP" xr:uid="{9914194B-691A-4E1E-9AA9-9489F86178A0}"/>
    <hyperlink ref="B180" location="'PLOT NO A-488 DEPR EXP'!A1" display="PLOT NO A-488 DEPR EXP" xr:uid="{8EBD8859-056A-4E35-B39D-5D732B4039C1}"/>
    <hyperlink ref="B181" location="'ISB SHOP DEPR EXP'!A1" display="ISB OUTLET DEPR EXP" xr:uid="{0CE746FD-EC6A-4DD9-B023-751346D5F00C}"/>
    <hyperlink ref="B182" location="'LAHORE SHOP DEPR EXP'!A1" display="LHR OUTLET DEPR EXP" xr:uid="{21945178-1F45-4D87-8F81-08C907CFFB9D}"/>
    <hyperlink ref="B183" location="'IVAR ISB EMPLOYE SALARY EXP'!A1" display="IVAR ISB SHOP EMPLOYE SALARY EXP" xr:uid="{7FFD5B2F-122D-41FC-AAC1-60B9935ECB61}"/>
    <hyperlink ref="B184" location="'IVAR SHARFABAD SHOP EXP'!A1" display="IVAR SHARFABAD SHOP EXP" xr:uid="{254DE16F-7CAB-4FF6-BD4F-6EEF4BE21D99}"/>
    <hyperlink ref="B185" location="'IVAR SHARFABAD SHOP SALARY EXP'!A1" display="IVAR SHARFABAD SHOP EMPLOYE SALARY EXP" xr:uid="{3F317FA3-DD2B-4E29-B5A2-786D9276B844}"/>
    <hyperlink ref="B186" location="'IVAR ISLAMABAD SHOP EXP'!A1" display="IVAR ISLAMABAD SHOP EXP" xr:uid="{41CAA9E9-7AFC-4255-9A9D-F0D13F5993CD}"/>
    <hyperlink ref="B187" location="'IVAR SHARFABAD SHOP RENT EXP'!A1" display="IVAR SHARFABAD SHOP RENT EXP" xr:uid="{0356D8D0-32E4-4BC3-8CFC-DFD8903EAB91}"/>
    <hyperlink ref="B188" location="'SHARFABAD SHOP DEPR EXP'!A1" display="SHARFABAD SHOP DEPR EXP" xr:uid="{85D36BDF-FB58-4E00-A17C-B8727DD7FC5A}"/>
    <hyperlink ref="B189" location="'SHARFABAD SHOP POS BANK CHARGES'!A1" display="SHARFABAD SHOP POS BANK CHARGES" xr:uid="{2BAD14B1-BB5E-486B-979F-E1C5338B0F00}"/>
    <hyperlink ref="B190" location="'MEEZAN AC 8231 BANK CHARGES'!A1" display="MEEZAN ACC 8231 BANK CHARGES" xr:uid="{F17DC604-27D7-4EBF-B806-273D350F855B}"/>
    <hyperlink ref="B191" location="'SHARFABAD SHOP UTILITY EXP'!A1" display="SHARFABAD SHOP UTILITY EXP" xr:uid="{641EF533-E0BA-4A33-90A5-AB33D46C764C}"/>
    <hyperlink ref="B192" location="'WITH HOLDING TAX EXP'!A1" display="WITH HOLDING TAX EXP" xr:uid="{4699907B-672B-4EF2-8FEB-460411ECFEB7}"/>
    <hyperlink ref="B193" location="'SHARFABAD SHOP CASH LOSS'!A1" display="SHARFABAD SHOP CASH LOSS" xr:uid="{CF9537B9-8DA7-4007-BB0C-B564C888C9A8}"/>
    <hyperlink ref="B194" location="'SHARFABAD SHOP PETTY CASH EXP'!A1" display="SHARFABAD SHOP PETTY CASH EXP" xr:uid="{47F458C0-AE4E-435F-83FD-D0B71A94A013}"/>
    <hyperlink ref="B195" location="'GST LAWYER FEES EXP'!A1" display="GST LAWYER FEES EXP" xr:uid="{E0971C84-7753-4769-87D3-24DD2C904321}"/>
    <hyperlink ref="B196" location="'UBL 7741 BANK CHARGES'!A1" display="UBL 7741 BANK CHARGES" xr:uid="{DF64F7FC-AF03-4F1F-BE89-B550775F475A}"/>
    <hyperlink ref="B197" location="'MONTHLY GST CHALLAN'!A1" display="MONTHLY GST CHALLAN" xr:uid="{57FFF31F-6AB3-40F8-8550-D8153D1CD755}"/>
    <hyperlink ref="B198" location="'EASY PAYSA DISCOUNT WORLD EXP F'!A1" display="EASY PAYSA DISCOUNT WORLD EXP FOR SHOP" xr:uid="{9E51570A-2E07-4AF9-8DB7-4941E04272BA}"/>
    <hyperlink ref="B199" location="'YOUSUF LAWYER SALARY EXP'!A1" display="YOUSUF LAWYER SALARY EXP" xr:uid="{625F12ED-F6F3-44F9-96A2-209DC585BCC6}"/>
    <hyperlink ref="B200" location="'GST INVOICE COMMISSION EXP'!A1" display="GST INVOICE COMMISSION EXP" xr:uid="{5AB593CD-1FFE-413E-A388-7EB91BEDAE73}"/>
    <hyperlink ref="B201" location="'EASY PAYSA DIS WORLD EXP FOR ON'!A1" display="EASY PAYSA DIS WORLD EXP FOR ONLINE" xr:uid="{91DC9076-C698-4EA5-A4D3-66DB8D59FCD7}"/>
    <hyperlink ref="B202" location="'GST EXPENSE'!A1" display="GST EXP" xr:uid="{CC7045D6-2034-48EE-A3F9-9BE2E53620E1}"/>
    <hyperlink ref="B207" location="DISINVESTMENT!A1" display="DISINVESTMENT" xr:uid="{336A2203-2999-4233-A2B6-A0D1907C3A0A}"/>
    <hyperlink ref="B211" location="'IVAR WAREHOUSE STOCK'!A1" display="IVAR WAREHOUSE STOCK" xr:uid="{F027BBCD-D3C4-4AE0-8BC6-654836D34FAD}"/>
    <hyperlink ref="B212" location="'IVAR BUKHARI SHOP STOCK'!A1" display="IVAR BUKHARI SHOP STOCK" xr:uid="{6FCCC49C-2207-4A4D-9036-8F182A976662}"/>
    <hyperlink ref="B216" location="'FABRICS STOCK'!A1" display="FABRIC" xr:uid="{9D68072C-7B90-4C93-A260-21B876D2CAB6}"/>
    <hyperlink ref="B217" location="'ACCESSORIES STOCK'!A1" display="ACCESSORIES" xr:uid="{D4099833-595D-4D5E-88B7-231273F350E3}"/>
    <hyperlink ref="B218" location="'B STOCK'!A1" display="B STOCK" xr:uid="{BD1FCDFB-443C-49AA-BBF7-1D42293E8FFB}"/>
    <hyperlink ref="B5" location="'IVAR BUKHARI OUTLET'!A1" display="IVAR BUKHARI OUTLET" xr:uid="{4D14937E-CDC1-43DF-A61F-C2C52F91803E}"/>
    <hyperlink ref="E4" location="' SAIM &amp; SAMEER CAPITAL'!A1" display="SAIM &amp; SAMEER CAPITAL " xr:uid="{E207E280-351F-4FD0-B7D0-21A5CD0258DB}"/>
  </hyperlinks>
  <pageMargins left="0.7" right="0.7" top="0.75" bottom="0.75" header="0" footer="0"/>
  <pageSetup scale="7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2026-07-30T09:57:23Z</dcterms:created>
  <dcterms:modified xsi:type="dcterms:W3CDTF">2026-07-30T09:57:50Z</dcterms:modified>
</cp:coreProperties>
</file>